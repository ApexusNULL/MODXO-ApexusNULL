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81db4033c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b155ed05c6c747ae"/>
    <x:sheet xmlns:r="http://schemas.openxmlformats.org/officeDocument/2006/relationships" name="Placement" sheetId="2" r:id="R99ef88cc1235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&quot; &quot;"/>
    <x:numFmt numFmtId="201" formatCode="@"/>
    <x:numFmt numFmtId="202" formatCode="mm/dd/yyyy&quot; &quot;"/>
    <x:numFmt numFmtId="203" formatCode="0.000&quot; &quot;"/>
    <x:numFmt numFmtId="204" formatCode="0.0&quot; &quot;"/>
    <x:numFmt numFmtId="205" formatCode="0"/>
  </x:numFmts>
  <x:fonts count="9">
    <x:font>
      <x:sz val="11"/>
      <x:name val="Carlito"/>
    </x:font>
    <x:font>
      <x:sz val="10"/>
      <x:color rgb="FF202D3B"/>
      <x:name val="Arial"/>
    </x:font>
    <x:font>
      <x:b/>
      <x:sz val="16"/>
      <x:color rgb="FF243C51"/>
      <x:name val="Arial"/>
    </x:font>
    <x:font>
      <x:b/>
      <x:sz val="14"/>
      <x:color rgb="FF202D3B"/>
      <x:name val="Arial"/>
    </x:font>
    <x:font>
      <x:b/>
      <x:sz val="10"/>
      <x:color rgb="FF9C4A12"/>
      <x:name val="Arial"/>
    </x:font>
    <x:font>
      <x:sz val="10"/>
      <x:color rgb="FF566472"/>
      <x:name val="Arial"/>
    </x:font>
    <x:font>
      <x:b/>
      <x:sz val="10"/>
      <x:color rgb="FF566472"/>
      <x:name val="Arial"/>
    </x:font>
    <x:font>
      <x:b/>
      <x:sz val="10"/>
      <x:color rgb="FFFFFFFF"/>
      <x:name val="Arial"/>
    </x:font>
    <x:font>
      <x:sz val="10"/>
      <x:color rgb="FF145D9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1"/>
      </x:patternFill>
    </x:fill>
    <x:fill>
      <x:patternFill patternType="solid">
        <x:fgColor rgb="FFF1F5F8"/>
      </x:patternFill>
    </x:fill>
  </x:fills>
  <x:borders count="5">
    <x:border/>
    <x:border>
      <x:bottom style="thin">
        <x:color rgb="FFB7C6D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/>
    </x:xf>
    <x:xf numFmtId="0" fontId="7" fillId="2" borderId="3" xfId="0" applyNumberFormat="1" applyFont="1" applyFill="1" applyBorder="1" applyAlignment="1">
      <x:alignment vertical="center"/>
    </x:xf>
    <x:xf numFmtId="0" fontId="7" fillId="2" borderId="4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horizontal="center" vertical="center"/>
    </x:xf>
    <x:xf numFmtId="0" fontId="7" fillId="2" borderId="3" xfId="0" applyNumberFormat="1" applyFont="1" applyFill="1" applyBorder="1" applyAlignment="1">
      <x:alignment horizontal="center" vertical="center"/>
    </x:xf>
    <x:xf numFmtId="0" fontId="7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8" fillId="3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5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b/>
        <x:color rgb="FF9C4A12"/>
      </x:font>
      <x:fill>
        <x:patternFill patternType="solid">
          <x:bgColor rgb="FFFFF0CB"/>
        </x:patternFill>
      </x:fill>
    </x:dxf>
    <x:dxf>
      <x:font>
        <x:b/>
        <x:color rgb="FF9C4A12"/>
      </x:font>
      <x:fill>
        <x:patternFill patternType="solid">
          <x:bgColor rgb="FFFFF0CB"/>
        </x:patternFill>
      </x:fill>
    </x:dxf>
    <x:dxf>
      <x:font>
        <x:b/>
        <x:color rgb="FF9C4A12"/>
      </x:font>
      <x:fill>
        <x:patternFill patternType="solid">
          <x:bgColor rgb="FFFFF0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978bd57a3447c" /><Relationship Type="http://schemas.openxmlformats.org/officeDocument/2006/relationships/theme" Target="/xl/theme/theme1.xml" Id="R5e6332845d024a49" /><Relationship Type="http://schemas.openxmlformats.org/officeDocument/2006/relationships/sharedStrings" Target="/xl/sharedStrings.xml" Id="Rc965be2a14324243" /><Relationship Type="http://schemas.openxmlformats.org/officeDocument/2006/relationships/worksheet" Target="/xl/worksheets/sheet1.xml" Id="Rb155ed05c6c747ae" /><Relationship Type="http://schemas.openxmlformats.org/officeDocument/2006/relationships/worksheet" Target="/xl/worksheets/sheet2.xml" Id="R99ef88cc123540e5" /></Relationships>
</file>

<file path=xl/tables/table1.xml><?xml version="1.0" encoding="utf-8"?>
<x:table xmlns:x="http://schemas.openxmlformats.org/spreadsheetml/2006/main" id="1" name="FittedBOM" displayName="FittedBOM" ref="A8:L38" headerRowCount="1" totalsRowCount="0" totalsRowShown="0">
  <x:tableColumns count="12">
    <x:tableColumn id="1" name="Qty"/>
    <x:tableColumn id="2" name="Reference designators"/>
    <x:tableColumn id="3" name="Manufacturer part number"/>
    <x:tableColumn id="4" name="Manufacturer"/>
    <x:tableColumn id="5" name="Supplier"/>
    <x:tableColumn id="6" name="Supplier SKU"/>
    <x:tableColumn id="7" name="Product page"/>
    <x:tableColumn id="8" name="Availability / status"/>
    <x:tableColumn id="9" name="Checked"/>
    <x:tableColumn id="10" name="Value / description"/>
    <x:tableColumn id="11" name="Side"/>
    <x:tableColumn id="12" name="Package / native footpri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ePlacement" displayName="ReferencePlacement" ref="A8:I59" headerRowCount="1" totalsRowCount="0" totalsRowShown="0">
  <x:tableColumns count="9">
    <x:tableColumn id="1" name="Reference"/>
    <x:tableColumn id="2" name="Manufacturer part number"/>
    <x:tableColumn id="3" name="Value / description"/>
    <x:tableColumn id="4" name="Side"/>
    <x:tableColumn id="5" name="X (mm)"/>
    <x:tableColumn id="6" name="Y (mm)"/>
    <x:tableColumn id="7" name="Rotation (°)"/>
    <x:tableColumn id="8" name="Footprint"/>
    <x:tableColumn id="9" name="Q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ff6ceeb337ba4607" /><ns0:Relationship Id="rIdProduct9" Type="http://schemas.openxmlformats.org/officeDocument/2006/relationships/hyperlink" Target="https://www.lcsc.com/product-detail/C100082.html" TargetMode="External" /><ns0:Relationship Id="rIdProduct10" Type="http://schemas.openxmlformats.org/officeDocument/2006/relationships/hyperlink" Target="https://www.lcsc.com/product-detail/C1591.html" TargetMode="External" /><ns0:Relationship Id="rIdProduct11" Type="http://schemas.openxmlformats.org/officeDocument/2006/relationships/hyperlink" Target="https://www.digikey.com/en/products/detail/samsung-electro-mechanics/CL10C150JB8NNNC/3886954" TargetMode="External" /><ns0:Relationship Id="rIdProduct12" Type="http://schemas.openxmlformats.org/officeDocument/2006/relationships/hyperlink" Target="https://www.lcsc.com/product-detail/C29936.html" TargetMode="External" /><ns0:Relationship Id="rIdProduct13" Type="http://schemas.openxmlformats.org/officeDocument/2006/relationships/hyperlink" Target="https://www.lcsc.com/product-detail/C37704.html" TargetMode="External" /><ns0:Relationship Id="rIdProduct14" Type="http://schemas.openxmlformats.org/officeDocument/2006/relationships/hyperlink" Target="https://www.digikey.com/en/products/detail/texas-instruments/TPS22919DCKR/10434801" TargetMode="External" /><ns0:Relationship Id="rIdProduct15" Type="http://schemas.openxmlformats.org/officeDocument/2006/relationships/hyperlink" Target="https://www.digikey.com/en/products/detail/jst-sales-america-inc/SM03B-SRSS-TB/926709" TargetMode="External" /><ns0:Relationship Id="rIdProduct16" Type="http://schemas.openxmlformats.org/officeDocument/2006/relationships/hyperlink" Target="https://www.digikey.com/en/products/detail/jst-sales-america-inc/SM04B-SRSS-TB/926710" TargetMode="External" /><ns0:Relationship Id="rIdProduct17" Type="http://schemas.openxmlformats.org/officeDocument/2006/relationships/hyperlink" Target="https://www.digikey.com/en/products/detail/jst-sales-america-inc/SM04B-SRSS-TB/926710" TargetMode="External" /><ns0:Relationship Id="rIdProduct18" Type="http://schemas.openxmlformats.org/officeDocument/2006/relationships/hyperlink" Target="https://www.digikey.com/en/products/detail/jst-sales-america-inc/SM06B-SRSS-TB-LF-SN/926712" TargetMode="External" /><ns0:Relationship Id="rIdProduct19" Type="http://schemas.openxmlformats.org/officeDocument/2006/relationships/hyperlink" Target="https://www.digikey.com/en/products/detail/harwin-inc/M20-7830842/3727786" TargetMode="External" /><ns0:Relationship Id="rIdProduct20" Type="http://schemas.openxmlformats.org/officeDocument/2006/relationships/hyperlink" Target="https://www.digikey.com/en/products/detail/jst-sales-america-inc/SM04B-SRSS-TB/926710" TargetMode="External" /><ns0:Relationship Id="rIdProduct21" Type="http://schemas.openxmlformats.org/officeDocument/2006/relationships/hyperlink" Target="https://www.digikey.com/en/products/detail/jst-sales-america-inc/SM04B-SRSS-TB/926710" TargetMode="External" /><ns0:Relationship Id="rIdProduct22" Type="http://schemas.openxmlformats.org/officeDocument/2006/relationships/hyperlink" Target="https://www.lcsc.com/product-detail/USB-Connectors_XUNPU-TYPEC-304-BCP16_C720629.html" TargetMode="External" /><ns0:Relationship Id="rIdProduct23" Type="http://schemas.openxmlformats.org/officeDocument/2006/relationships/hyperlink" Target="https://www.digikey.com/en/products/detail/jst-sales-america-inc/SM04B-SRSS-TB/926710" TargetMode="External" /><ns0:Relationship Id="rIdProduct24" Type="http://schemas.openxmlformats.org/officeDocument/2006/relationships/hyperlink" Target="https://www.lcsc.com/product-detail/C52941386.html" TargetMode="External" /><ns0:Relationship Id="rIdProduct25" Type="http://schemas.openxmlformats.org/officeDocument/2006/relationships/hyperlink" Target="https://www.digikey.com/en/products/detail/liteon/LTST-C190TBKT/388529" TargetMode="External" /><ns0:Relationship Id="rIdProduct26" Type="http://schemas.openxmlformats.org/officeDocument/2006/relationships/hyperlink" Target="https://www.digikey.com/en/products/detail/yageo/RC0603FR-071KL/729790" TargetMode="External" /><ns0:Relationship Id="rIdProduct27" Type="http://schemas.openxmlformats.org/officeDocument/2006/relationships/hyperlink" Target="https://www.digikey.com/en/products/detail/yageo/RC0603FR-07470RL/727256" TargetMode="External" /><ns0:Relationship Id="rIdProduct28" Type="http://schemas.openxmlformats.org/officeDocument/2006/relationships/hyperlink" Target="https://www.lcsc.com/product-detail/C105580.html" TargetMode="External" /><ns0:Relationship Id="rIdProduct29" Type="http://schemas.openxmlformats.org/officeDocument/2006/relationships/hyperlink" Target="https://www.digikey.com/en/products/detail/yageo/RC0603FR-07330RL/727162" TargetMode="External" /><ns0:Relationship Id="rIdProduct30" Type="http://schemas.openxmlformats.org/officeDocument/2006/relationships/hyperlink" Target="https://www.digikey.com/en/products/detail/yageo/RC0603FR-0727RL/727099" TargetMode="External" /><ns0:Relationship Id="rIdProduct31" Type="http://schemas.openxmlformats.org/officeDocument/2006/relationships/hyperlink" Target="https://www.digikey.com/en/products/detail/yageo/RC0603FR-074K7L/730159" TargetMode="External" /><ns0:Relationship Id="rIdProduct32" Type="http://schemas.openxmlformats.org/officeDocument/2006/relationships/hyperlink" Target="https://www.zaikostore.com/zaikostore/stockDetail?productIdOfHitotsukara=pr12455304&amp;productName_forFind=MNR04M0APJ101&amp;typeStock_forFind=all" TargetMode="External" /><ns0:Relationship Id="rIdProduct33" Type="http://schemas.openxmlformats.org/officeDocument/2006/relationships/hyperlink" Target="https://www.lcsc.com/product-detail/tactile-switches_ri-sheng-st-1185s_C589191.html" TargetMode="External" /><ns0:Relationship Id="rIdProduct34" Type="http://schemas.openxmlformats.org/officeDocument/2006/relationships/hyperlink" Target="https://www.mouser.com/ProductDetail/Nexperia/BC857BS115?qs=me8TqzrmIYUTVIx%252BZhNjFA%3D%3D" TargetMode="External" /><ns0:Relationship Id="rIdProduct35" Type="http://schemas.openxmlformats.org/officeDocument/2006/relationships/hyperlink" Target="https://www.lcsc.com/product-detail/_Raspberry-Pi-RP2040_C2040.html" TargetMode="External" /><ns0:Relationship Id="rIdProduct36" Type="http://schemas.openxmlformats.org/officeDocument/2006/relationships/hyperlink" Target="https://www.digikey.com/en/products/detail/winbond-electronics/W25Q128JVSIQ/W25Q128JVSIQ-ND/5803943" TargetMode="External" /><ns0:Relationship Id="rIdProduct37" Type="http://schemas.openxmlformats.org/officeDocument/2006/relationships/hyperlink" Target="https://www.lcsc.com/product-detail/C84119.html" TargetMode="External" /><ns0:Relationship Id="rIdProduct38" Type="http://schemas.openxmlformats.org/officeDocument/2006/relationships/hyperlink" Target="https://www.digikey.com/en/products/detail/abracon-llc/ABM8-272-T3/22472366" TargetMode="External" /></ns0: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04bf5300e44035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C51"/>
  </sheetPr>
  <sheetViews>
    <sheetView showGridLines="0" workbookViewId="0">
      <pane xSplit="3" ySplit="8" topLeftCell="D9" activePane="bottomRight" state="frozen"/>
    </sheetView>
  </sheetViews>
  <sheetFormatPr defaultRowHeight="15"/>
  <cols>
    <col min="1" max="1" width="6" hidden="0" customWidth="1"/>
    <col min="2" max="2" width="35" hidden="0" customWidth="1"/>
    <col min="3" max="3" width="25.6299991607666" hidden="0" customWidth="1"/>
    <col min="4" max="4" width="21.8799991607666" hidden="0" customWidth="1"/>
    <col min="5" max="5" width="22.5" hidden="0" customWidth="1"/>
    <col min="6" max="6" width="30" hidden="0" customWidth="1"/>
    <col min="7" max="7" width="13.75" hidden="0" customWidth="1"/>
    <col min="8" max="8" width="37.5" hidden="0" customWidth="1"/>
    <col min="9" max="9" width="12.5" hidden="0" customWidth="1"/>
    <col min="10" max="10" width="33.75" hidden="0" customWidth="1"/>
    <col min="11" max="11" width="10" hidden="0" customWidth="1"/>
    <col min="12" max="12" width="52.5" hidden="0" customWidth="1"/>
    <col min="13" max="13" width="2.75" hidden="0" customWidth="1"/>
    <col min="14" max="14" width="80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5" customHeight="1">
      <c r="A2" s="3" t="str">
        <v>MODXO ApexusNULL — Bill of Materials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7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25" customHeight="1">
      <c r="A4" s="5" t="str">
        <f>"Fitted parts: "&amp;SUM(A9:A38)&amp;"     Top: "&amp;SUMIFS(A9:A38,K9:K38,"Top")&amp;"     Bottom: "&amp;SUMIFS(A9:A38,K9:K38,"Bottom")</f>
        <v>Fitted parts: 51     Top: 50     Bottom: 1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</row>
    <row r="5" ht="25" customHeight="1">
      <c r="A5" s="6" t="str">
        <v>Supplier confirmation needed: MNR04M0APJ101, ST-1185S. See availability below.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21" customHeight="1">
      <c r="A6" s="7" t="str">
        <v>Quantities per board. PAD_D0, PAD_HDD and PAD_LAN are bare copper contacts, not fitted parts.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2"/>
    </row>
    <row r="7" ht="21" customHeight="1">
      <c r="A7" s="7" t="str">
        <v>Product links and availability were checked on the date shown. Listed parts do not imply confirmed live stock.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"/>
    </row>
    <row r="8" ht="32" customHeight="1">
      <c r="A8" s="15" t="str">
        <v>Qty</v>
      </c>
      <c r="B8" s="16" t="str">
        <v>Reference designators</v>
      </c>
      <c r="C8" s="16" t="str">
        <v>Manufacturer part number</v>
      </c>
      <c r="D8" s="16" t="str">
        <v>Manufacturer</v>
      </c>
      <c r="E8" s="16" t="str">
        <v>Supplier</v>
      </c>
      <c r="F8" s="16" t="str">
        <v>Supplier SKU</v>
      </c>
      <c r="G8" s="16" t="str">
        <v>Product page</v>
      </c>
      <c r="H8" s="16" t="str">
        <v>Availability / status</v>
      </c>
      <c r="I8" s="16" t="str">
        <v>Checked</v>
      </c>
      <c r="J8" s="16" t="str">
        <v>Value / description</v>
      </c>
      <c r="K8" s="16" t="str">
        <v>Side</v>
      </c>
      <c r="L8" s="17" t="str">
        <v>Package / native footprint</v>
      </c>
      <c r="M8" s="2"/>
      <c r="N8" s="8" t="str">
        <v>Assembly and sourcing notes</v>
      </c>
    </row>
    <row r="9" ht="37" customHeight="1">
      <c r="A9" s="26" t="n">
        <v>3</v>
      </c>
      <c r="B9" s="34" t="str">
        <v>C2, C4, C15</v>
      </c>
      <c r="C9" s="28" t="str">
        <v>CL10B225KP8NNNC</v>
      </c>
      <c r="D9" s="34" t="str">
        <v>Samsung Electro-Mechanics</v>
      </c>
      <c r="E9" s="28" t="str">
        <v>LCSC</v>
      </c>
      <c r="F9" s="34" t="str">
        <v>C100082</v>
      </c>
      <c r="G9" s="32" t="str">
        <v>Open product</v>
      </c>
      <c r="H9" s="22" t="str">
        <v>In stock on supplier page; confirm at quote</v>
      </c>
      <c r="I9" s="30" t="n">
        <v>46288</v>
      </c>
      <c r="J9" s="34" t="str">
        <v>2.2uF 10V X7R 10%</v>
      </c>
      <c r="K9" s="28" t="str">
        <v>Top</v>
      </c>
      <c r="L9" s="22" t="str">
        <v>Observed_C2; Observed_C4; Observed_C15</v>
      </c>
      <c r="M9" s="2"/>
      <c r="N9" s="7" t="str">
        <v>MOQ/multiple 20; reel 4,000. Exact Samsung MPN.</v>
      </c>
    </row>
    <row r="10" ht="51" customHeight="1">
      <c r="A10" s="27" t="n">
        <v>11</v>
      </c>
      <c r="B10" s="35" t="str">
        <v>C3, C5, C6, C7, C8, C9, C10, C11, C14, C16, P_N2</v>
      </c>
      <c r="C10" s="29" t="str">
        <v>CL10B104KB8NNNC</v>
      </c>
      <c r="D10" s="35" t="str">
        <v>Samsung Electro-Mechanics</v>
      </c>
      <c r="E10" s="29" t="str">
        <v>LCSC</v>
      </c>
      <c r="F10" s="35" t="str">
        <v>C1591</v>
      </c>
      <c r="G10" s="33" t="str">
        <v>Open product</v>
      </c>
      <c r="H10" s="25" t="str">
        <v>In stock on supplier page; confirm at quote</v>
      </c>
      <c r="I10" s="31" t="n">
        <v>46288</v>
      </c>
      <c r="J10" s="35" t="str">
        <v>100nF 50V X7R 10%</v>
      </c>
      <c r="K10" s="29" t="str">
        <v>Top</v>
      </c>
      <c r="L10" s="25" t="str">
        <v>Observed_C3; Observed_C5; Observed_C6; Observed_C7; Observed_C8; Observed_C9; Observed_C10; Observed_C11; Observed_C14; Observed_C16; Observed_P_N2</v>
      </c>
      <c r="M10" s="2"/>
      <c r="N10" s="7" t="str">
        <v>MOQ/multiple 100; reel 4,000. Exact Samsung MPN.</v>
      </c>
    </row>
    <row r="11" ht="37" customHeight="1">
      <c r="A11" s="26" t="n">
        <v>2</v>
      </c>
      <c r="B11" s="34" t="str">
        <v>C12, C13</v>
      </c>
      <c r="C11" s="28" t="str">
        <v>CL10C150JB8NNNC</v>
      </c>
      <c r="D11" s="34" t="str">
        <v>Samsung Electro-Mechanics</v>
      </c>
      <c r="E11" s="28" t="str">
        <v>DigiKey</v>
      </c>
      <c r="F11" s="34" t="str">
        <v>1276-1296-1-ND</v>
      </c>
      <c r="G11" s="32" t="str">
        <v>Open product</v>
      </c>
      <c r="H11" s="22" t="str">
        <v>In stock on supplier page; confirm at quote</v>
      </c>
      <c r="I11" s="30" t="n">
        <v>46288</v>
      </c>
      <c r="J11" s="34" t="str">
        <v>15pF 50V C0G 5%</v>
      </c>
      <c r="K11" s="28" t="str">
        <v>Top</v>
      </c>
      <c r="L11" s="22" t="str">
        <v>Observed_C12; Observed_C13</v>
      </c>
      <c r="M11" s="2"/>
      <c r="N11" s="7" t="str">
        <v>Cut tape; full-reel code 1276-1296-2-ND.</v>
      </c>
    </row>
    <row r="12" ht="37" customHeight="1">
      <c r="A12" s="27" t="n">
        <v>4</v>
      </c>
      <c r="B12" s="35" t="str">
        <v>C19, C22, C23, P_N1</v>
      </c>
      <c r="C12" s="29" t="str">
        <v>CL10B105KA8NNNC</v>
      </c>
      <c r="D12" s="35" t="str">
        <v>Samsung Electro-Mechanics</v>
      </c>
      <c r="E12" s="29" t="str">
        <v>LCSC</v>
      </c>
      <c r="F12" s="35" t="str">
        <v>C29936</v>
      </c>
      <c r="G12" s="33" t="str">
        <v>Open product</v>
      </c>
      <c r="H12" s="25" t="str">
        <v>In stock on supplier page; confirm at quote</v>
      </c>
      <c r="I12" s="31" t="n">
        <v>46288</v>
      </c>
      <c r="J12" s="35" t="str">
        <v>1uF 25V X7R 10%</v>
      </c>
      <c r="K12" s="29" t="str">
        <v>Top</v>
      </c>
      <c r="L12" s="25" t="str">
        <v>Observed_C19; Observed_C22; Observed_C23; Observed_P_N1</v>
      </c>
      <c r="M12" s="2"/>
      <c r="N12" s="7" t="str">
        <v>MOQ/multiple 10; reel 4,000. Exact Samsung MPN.</v>
      </c>
    </row>
    <row r="13" ht="37" customHeight="1">
      <c r="A13" s="26" t="n">
        <v>1</v>
      </c>
      <c r="B13" s="34" t="str">
        <v>D1</v>
      </c>
      <c r="C13" s="28" t="str">
        <v>BAT54C,215</v>
      </c>
      <c r="D13" s="34" t="str">
        <v>Nexperia</v>
      </c>
      <c r="E13" s="28" t="str">
        <v>LCSC</v>
      </c>
      <c r="F13" s="34" t="str">
        <v>C37704</v>
      </c>
      <c r="G13" s="32" t="str">
        <v>Open product</v>
      </c>
      <c r="H13" s="22" t="str">
        <v>Listing reports in stock; reconfirm at quote.</v>
      </c>
      <c r="I13" s="30" t="n">
        <v>46288</v>
      </c>
      <c r="J13" s="34" t="str">
        <v>BAT54C dual Schottky common cathode</v>
      </c>
      <c r="K13" s="28" t="str">
        <v>Top</v>
      </c>
      <c r="L13" s="22" t="str">
        <v>Observed_D1</v>
      </c>
      <c r="M13" s="2"/>
      <c r="N13" s="7" t="str">
        <v>MOQ/multiple 50. Exact Nexperia common-cathode part.</v>
      </c>
    </row>
    <row r="14" ht="37" customHeight="1">
      <c r="A14" s="27" t="n">
        <v>1</v>
      </c>
      <c r="B14" s="35" t="str">
        <v>IC1</v>
      </c>
      <c r="C14" s="29" t="str">
        <v>TPS22919DCKR</v>
      </c>
      <c r="D14" s="35" t="str">
        <v>Texas Instruments</v>
      </c>
      <c r="E14" s="29" t="str">
        <v>DigiKey</v>
      </c>
      <c r="F14" s="35" t="str">
        <v>296-TPS22919DCKRCT-ND</v>
      </c>
      <c r="G14" s="33" t="str">
        <v>Open product</v>
      </c>
      <c r="H14" s="25" t="str">
        <v>Listing reports in stock; reconfirm at quote.</v>
      </c>
      <c r="I14" s="31" t="n">
        <v>46288</v>
      </c>
      <c r="J14" s="35" t="str">
        <v>1.6-5.5 V load switch</v>
      </c>
      <c r="K14" s="29" t="str">
        <v>Top</v>
      </c>
      <c r="L14" s="25" t="str">
        <v>Observed_IC1</v>
      </c>
      <c r="M14" s="2"/>
      <c r="N14" s="7" t="str">
        <v>No local input bypass; qualify accessory load. DigiKey cut-tape SKU.</v>
      </c>
    </row>
    <row r="15" ht="27" customHeight="1">
      <c r="A15" s="26" t="n">
        <v>1</v>
      </c>
      <c r="B15" s="34" t="str">
        <v>J_D0</v>
      </c>
      <c r="C15" s="28" t="str">
        <v>SM03B-SRSS-TB(LF)(SN)</v>
      </c>
      <c r="D15" s="34" t="str">
        <v>JST Sales America Inc.</v>
      </c>
      <c r="E15" s="28" t="str">
        <v>DigiKey</v>
      </c>
      <c r="F15" s="34" t="str">
        <v>455-SM03B-SRSS-TBCT-ND</v>
      </c>
      <c r="G15" s="32" t="str">
        <v>Open product</v>
      </c>
      <c r="H15" s="22" t="str">
        <v>In stock: 10,574 shown; confirm at quote</v>
      </c>
      <c r="I15" s="30" t="n">
        <v>46288</v>
      </c>
      <c r="J15" s="34" t="str">
        <v>D0</v>
      </c>
      <c r="K15" s="28" t="str">
        <v>Top</v>
      </c>
      <c r="L15" s="22" t="str">
        <v>Observed_J_D0</v>
      </c>
      <c r="M15" s="2"/>
      <c r="N15" s="7" t="str">
        <v>Cut tape. Supplier shortens (LF)(SN) in display; order the full BOM MPN.</v>
      </c>
    </row>
    <row r="16" ht="27" customHeight="1">
      <c r="A16" s="27" t="n">
        <v>1</v>
      </c>
      <c r="B16" s="35" t="str">
        <v>J_EXP</v>
      </c>
      <c r="C16" s="29" t="str">
        <v>SM04B-SRSS-TB(LF)(SN)</v>
      </c>
      <c r="D16" s="35" t="str">
        <v>JST Sales America Inc.</v>
      </c>
      <c r="E16" s="29" t="str">
        <v>DigiKey</v>
      </c>
      <c r="F16" s="35" t="str">
        <v>455-SM04B-SRSS-TBCT-ND</v>
      </c>
      <c r="G16" s="33" t="str">
        <v>Open product</v>
      </c>
      <c r="H16" s="25" t="str">
        <v>In stock: 154,520 shown; confirm at quote</v>
      </c>
      <c r="I16" s="31" t="n">
        <v>46288</v>
      </c>
      <c r="J16" s="35" t="str">
        <v>EXP</v>
      </c>
      <c r="K16" s="29" t="str">
        <v>Top</v>
      </c>
      <c r="L16" s="25" t="str">
        <v>Observed_J_EXP</v>
      </c>
      <c r="M16" s="2"/>
      <c r="N16" s="7" t="str">
        <v>Cut tape. Supplier shortens (LF)(SN) in display; order the full BOM MPN.</v>
      </c>
    </row>
    <row r="17" ht="27" customHeight="1">
      <c r="A17" s="26" t="n">
        <v>1</v>
      </c>
      <c r="B17" s="34" t="str">
        <v>J_HDD</v>
      </c>
      <c r="C17" s="28" t="str">
        <v>SM04B-SRSS-TB(LF)(SN)</v>
      </c>
      <c r="D17" s="34" t="str">
        <v>JST Sales America Inc.</v>
      </c>
      <c r="E17" s="28" t="str">
        <v>DigiKey</v>
      </c>
      <c r="F17" s="34" t="str">
        <v>455-SM04B-SRSS-TBCT-ND</v>
      </c>
      <c r="G17" s="32" t="str">
        <v>Open product</v>
      </c>
      <c r="H17" s="22" t="str">
        <v>In stock: 154,520 shown; confirm at quote</v>
      </c>
      <c r="I17" s="30" t="n">
        <v>46288</v>
      </c>
      <c r="J17" s="34" t="str">
        <v>HDD</v>
      </c>
      <c r="K17" s="28" t="str">
        <v>Top</v>
      </c>
      <c r="L17" s="22" t="str">
        <v>Observed_J_HDD</v>
      </c>
      <c r="M17" s="2"/>
      <c r="N17" s="7" t="str">
        <v>Cut tape. Supplier shortens (LF)(SN) in display; order the full BOM MPN.</v>
      </c>
    </row>
    <row r="18" ht="27" customHeight="1">
      <c r="A18" s="27" t="n">
        <v>1</v>
      </c>
      <c r="B18" s="35" t="str">
        <v>J_LCD</v>
      </c>
      <c r="C18" s="29" t="str">
        <v>SM06B-SRSS-TB(LF)(SN)</v>
      </c>
      <c r="D18" s="35" t="str">
        <v>JST Sales America Inc.</v>
      </c>
      <c r="E18" s="29" t="str">
        <v>DigiKey</v>
      </c>
      <c r="F18" s="35" t="str">
        <v>455-SM06B-SRSS-TBCT-ND</v>
      </c>
      <c r="G18" s="33" t="str">
        <v>Open product</v>
      </c>
      <c r="H18" s="25" t="str">
        <v>In stock: 43,699 shown; confirm at quote</v>
      </c>
      <c r="I18" s="31" t="n">
        <v>46288</v>
      </c>
      <c r="J18" s="35" t="str">
        <v>LCD</v>
      </c>
      <c r="K18" s="29" t="str">
        <v>Top</v>
      </c>
      <c r="L18" s="25" t="str">
        <v>Observed_J_LCD</v>
      </c>
      <c r="M18" s="2"/>
      <c r="N18" s="7" t="str">
        <v>Cut tape. Supplier shortens (LF)(SN) in display; order the full BOM MPN.</v>
      </c>
    </row>
    <row r="19" ht="27" customHeight="1">
      <c r="A19" s="26" t="n">
        <v>1</v>
      </c>
      <c r="B19" s="34" t="str">
        <v>J_LPC</v>
      </c>
      <c r="C19" s="28" t="str">
        <v>M20-7830842</v>
      </c>
      <c r="D19" s="34" t="str">
        <v>Harwin Inc.</v>
      </c>
      <c r="E19" s="28" t="str">
        <v>DigiKey</v>
      </c>
      <c r="F19" s="34" t="str">
        <v>952-1819-ND</v>
      </c>
      <c r="G19" s="32" t="str">
        <v>Open product</v>
      </c>
      <c r="H19" s="22" t="str">
        <v>In stock: 3,737 shown; confirm at quote</v>
      </c>
      <c r="I19" s="30" t="n">
        <v>46288</v>
      </c>
      <c r="J19" s="34" t="str">
        <v>LPC 2x8 underside</v>
      </c>
      <c r="K19" s="28" t="str">
        <v>Bottom</v>
      </c>
      <c r="L19" s="22" t="str">
        <v>Observed_J_LPC</v>
      </c>
      <c r="M19" s="2"/>
      <c r="N19" s="7" t="str">
        <v>Bottom through-hole socket; position uses footprint anchor. Tube packaging.</v>
      </c>
    </row>
    <row r="20" ht="27" customHeight="1">
      <c r="A20" s="27" t="n">
        <v>1</v>
      </c>
      <c r="B20" s="35" t="str">
        <v>J_RGB</v>
      </c>
      <c r="C20" s="29" t="str">
        <v>SM04B-SRSS-TB(LF)(SN)</v>
      </c>
      <c r="D20" s="35" t="str">
        <v>JST Sales America Inc.</v>
      </c>
      <c r="E20" s="29" t="str">
        <v>DigiKey</v>
      </c>
      <c r="F20" s="35" t="str">
        <v>455-SM04B-SRSS-TBCT-ND</v>
      </c>
      <c r="G20" s="33" t="str">
        <v>Open product</v>
      </c>
      <c r="H20" s="25" t="str">
        <v>In stock: 154,520 shown; confirm at quote</v>
      </c>
      <c r="I20" s="31" t="n">
        <v>46288</v>
      </c>
      <c r="J20" s="35" t="str">
        <v>RGB</v>
      </c>
      <c r="K20" s="29" t="str">
        <v>Top</v>
      </c>
      <c r="L20" s="25" t="str">
        <v>Observed_J_RGB</v>
      </c>
      <c r="M20" s="2"/>
      <c r="N20" s="7" t="str">
        <v>Cut tape. Supplier shortens (LF)(SN) in display; order the full BOM MPN.</v>
      </c>
    </row>
    <row r="21" ht="27" customHeight="1">
      <c r="A21" s="26" t="n">
        <v>1</v>
      </c>
      <c r="B21" s="34" t="str">
        <v>J_UART</v>
      </c>
      <c r="C21" s="28" t="str">
        <v>SM04B-SRSS-TB(LF)(SN)</v>
      </c>
      <c r="D21" s="34" t="str">
        <v>JST Sales America Inc.</v>
      </c>
      <c r="E21" s="28" t="str">
        <v>DigiKey</v>
      </c>
      <c r="F21" s="34" t="str">
        <v>455-SM04B-SRSS-TBCT-ND</v>
      </c>
      <c r="G21" s="32" t="str">
        <v>Open product</v>
      </c>
      <c r="H21" s="22" t="str">
        <v>In stock: 154,520 shown; confirm at quote</v>
      </c>
      <c r="I21" s="30" t="n">
        <v>46288</v>
      </c>
      <c r="J21" s="34" t="str">
        <v>UART</v>
      </c>
      <c r="K21" s="28" t="str">
        <v>Top</v>
      </c>
      <c r="L21" s="22" t="str">
        <v>Observed_J_UART</v>
      </c>
      <c r="M21" s="2"/>
      <c r="N21" s="7" t="str">
        <v>Cut tape. Supplier shortens (LF)(SN) in display; order the full BOM MPN.</v>
      </c>
    </row>
    <row r="22" ht="27" customHeight="1">
      <c r="A22" s="27" t="n">
        <v>1</v>
      </c>
      <c r="B22" s="35" t="str">
        <v>J_USB</v>
      </c>
      <c r="C22" s="29" t="str">
        <v>TYPEC-304-BCP16</v>
      </c>
      <c r="D22" s="35" t="str">
        <v>XUNPU</v>
      </c>
      <c r="E22" s="29" t="str">
        <v>LCSC</v>
      </c>
      <c r="F22" s="35" t="str">
        <v>C720629</v>
      </c>
      <c r="G22" s="33" t="str">
        <v>Open product</v>
      </c>
      <c r="H22" s="25" t="str">
        <v>In stock: 16,685 shown; confirm at quote</v>
      </c>
      <c r="I22" s="31" t="n">
        <v>46288</v>
      </c>
      <c r="J22" s="35" t="str">
        <v>USB-C</v>
      </c>
      <c r="K22" s="29" t="str">
        <v>Top</v>
      </c>
      <c r="L22" s="25" t="str">
        <v>Observed_J_USB</v>
      </c>
      <c r="M22" s="2"/>
      <c r="N22" s="7" t="str">
        <v>MOQ 5. Keep BCP16 variant; confirm shell fit on the 1.6 mm board.</v>
      </c>
    </row>
    <row r="23" ht="27" customHeight="1">
      <c r="A23" s="26" t="n">
        <v>1</v>
      </c>
      <c r="B23" s="34" t="str">
        <v>J_XB</v>
      </c>
      <c r="C23" s="28" t="str">
        <v>SM04B-SRSS-TB(LF)(SN)</v>
      </c>
      <c r="D23" s="34" t="str">
        <v>JST Sales America Inc.</v>
      </c>
      <c r="E23" s="28" t="str">
        <v>DigiKey</v>
      </c>
      <c r="F23" s="34" t="str">
        <v>455-SM04B-SRSS-TBCT-ND</v>
      </c>
      <c r="G23" s="32" t="str">
        <v>Open product</v>
      </c>
      <c r="H23" s="22" t="str">
        <v>In stock: 154,520 shown; confirm at quote</v>
      </c>
      <c r="I23" s="30" t="n">
        <v>46288</v>
      </c>
      <c r="J23" s="34" t="str">
        <v>XB</v>
      </c>
      <c r="K23" s="28" t="str">
        <v>Top</v>
      </c>
      <c r="L23" s="22" t="str">
        <v>Observed_J_XB</v>
      </c>
      <c r="M23" s="2"/>
      <c r="N23" s="7" t="str">
        <v>Cut tape. Supplier shortens (LF)(SN) in display; order the full BOM MPN.</v>
      </c>
    </row>
    <row r="24" ht="27" customHeight="1">
      <c r="A24" s="27" t="n">
        <v>1</v>
      </c>
      <c r="B24" s="35" t="str">
        <v>LED1</v>
      </c>
      <c r="C24" s="29" t="str">
        <v>WS2812B-MINI-V6</v>
      </c>
      <c r="D24" s="35" t="str">
        <v>Worldsemi</v>
      </c>
      <c r="E24" s="29" t="str">
        <v>LCSC</v>
      </c>
      <c r="F24" s="35" t="str">
        <v>C52941386</v>
      </c>
      <c r="G24" s="33" t="str">
        <v>Open product</v>
      </c>
      <c r="H24" s="25" t="str">
        <v>In stock: 21,165 shown; confirm at quote</v>
      </c>
      <c r="I24" s="31" t="n">
        <v>46288</v>
      </c>
      <c r="J24" s="35" t="str">
        <v>3535 addressable RGB, 12 mA/color</v>
      </c>
      <c r="K24" s="29" t="str">
        <v>Top</v>
      </c>
      <c r="L24" s="25" t="str">
        <v>Observed_LED1</v>
      </c>
      <c r="M24" s="2"/>
      <c r="N24" s="7" t="str">
        <v>MOQ 5. MINI-V6, 3535; qualify DIN logic margin; retain timing variant.</v>
      </c>
    </row>
    <row r="25" ht="27" customHeight="1">
      <c r="A25" s="26" t="n">
        <v>1</v>
      </c>
      <c r="B25" s="34" t="str">
        <v>LED2</v>
      </c>
      <c r="C25" s="28" t="str">
        <v>LTST-C190TBKT</v>
      </c>
      <c r="D25" s="34" t="str">
        <v>Lite-On Inc.</v>
      </c>
      <c r="E25" s="28" t="str">
        <v>DigiKey</v>
      </c>
      <c r="F25" s="34" t="str">
        <v>160-1646-1-ND</v>
      </c>
      <c r="G25" s="32" t="str">
        <v>Open product</v>
      </c>
      <c r="H25" s="22" t="str">
        <v>In stock: 406,342 shown; confirm at quote</v>
      </c>
      <c r="I25" s="30" t="n">
        <v>46288</v>
      </c>
      <c r="J25" s="34" t="str">
        <v>Blue indicator LED 0603</v>
      </c>
      <c r="K25" s="28" t="str">
        <v>Top</v>
      </c>
      <c r="L25" s="22" t="str">
        <v>Observed_LED2</v>
      </c>
      <c r="M25" s="2"/>
      <c r="N25" s="7" t="str">
        <v>Cut tape. Exact unsuffixed MPN; no -5A, -TH or -HM substitution.</v>
      </c>
    </row>
    <row r="26" ht="27" customHeight="1">
      <c r="A26" s="27" t="n">
        <v>2</v>
      </c>
      <c r="B26" s="35" t="str">
        <v>R1, R5</v>
      </c>
      <c r="C26" s="29" t="str">
        <v>RC0603FR-071KL</v>
      </c>
      <c r="D26" s="35" t="str">
        <v>YAGEO</v>
      </c>
      <c r="E26" s="29" t="str">
        <v>DigiKey</v>
      </c>
      <c r="F26" s="35" t="str">
        <v>311-1.00KHRCT-ND</v>
      </c>
      <c r="G26" s="33" t="str">
        <v>Open product</v>
      </c>
      <c r="H26" s="25" t="str">
        <v>In stock on supplier page; confirm at quote</v>
      </c>
      <c r="I26" s="31" t="n">
        <v>46288</v>
      </c>
      <c r="J26" s="35" t="str">
        <v>1k 1% 0.1W</v>
      </c>
      <c r="K26" s="29" t="str">
        <v>Top</v>
      </c>
      <c r="L26" s="25" t="str">
        <v>Observed_R1; Observed_R5</v>
      </c>
      <c r="M26" s="2"/>
      <c r="N26" s="7" t="str">
        <v>Cut tape; full-reel code 311-1.00KHRTR-ND.</v>
      </c>
    </row>
    <row r="27" ht="27" customHeight="1">
      <c r="A27" s="26" t="n">
        <v>2</v>
      </c>
      <c r="B27" s="34" t="str">
        <v>R2, R3</v>
      </c>
      <c r="C27" s="28" t="str">
        <v>RC0603FR-07470RL</v>
      </c>
      <c r="D27" s="34" t="str">
        <v>YAGEO</v>
      </c>
      <c r="E27" s="28" t="str">
        <v>DigiKey</v>
      </c>
      <c r="F27" s="34" t="str">
        <v>311-470HRCT-ND</v>
      </c>
      <c r="G27" s="32" t="str">
        <v>Open product</v>
      </c>
      <c r="H27" s="22" t="str">
        <v>In stock on supplier page; confirm at quote</v>
      </c>
      <c r="I27" s="30" t="n">
        <v>46288</v>
      </c>
      <c r="J27" s="34" t="str">
        <v>470 1% 0.1W</v>
      </c>
      <c r="K27" s="28" t="str">
        <v>Top</v>
      </c>
      <c r="L27" s="22" t="str">
        <v>Observed_R2; Observed_R3</v>
      </c>
      <c r="M27" s="2"/>
      <c r="N27" s="7" t="str">
        <v>Cut tape; full-reel code 311-470HRTR-ND.</v>
      </c>
    </row>
    <row r="28" ht="27" customHeight="1">
      <c r="A28" s="27" t="n">
        <v>2</v>
      </c>
      <c r="B28" s="35" t="str">
        <v>R4, R10</v>
      </c>
      <c r="C28" s="29" t="str">
        <v>RC0603FR-075K1L</v>
      </c>
      <c r="D28" s="35" t="str">
        <v>YAGEO</v>
      </c>
      <c r="E28" s="29" t="str">
        <v>LCSC</v>
      </c>
      <c r="F28" s="35" t="str">
        <v>C105580</v>
      </c>
      <c r="G28" s="33" t="str">
        <v>Open product</v>
      </c>
      <c r="H28" s="25" t="str">
        <v>In stock on supplier page; confirm at quote</v>
      </c>
      <c r="I28" s="31" t="n">
        <v>46288</v>
      </c>
      <c r="J28" s="35" t="str">
        <v>5.1k 1% 0.1W</v>
      </c>
      <c r="K28" s="29" t="str">
        <v>Top</v>
      </c>
      <c r="L28" s="25" t="str">
        <v>Observed_R4; Observed_R10</v>
      </c>
      <c r="M28" s="2"/>
      <c r="N28" s="7" t="str">
        <v>MOQ/multiple 100; reel 5,000. Exact YAGEO MPN.</v>
      </c>
    </row>
    <row r="29" ht="27" customHeight="1">
      <c r="A29" s="26" t="n">
        <v>1</v>
      </c>
      <c r="B29" s="34" t="str">
        <v>R6</v>
      </c>
      <c r="C29" s="28" t="str">
        <v>RC0603FR-07330RL</v>
      </c>
      <c r="D29" s="34" t="str">
        <v>YAGEO</v>
      </c>
      <c r="E29" s="28" t="str">
        <v>DigiKey</v>
      </c>
      <c r="F29" s="34" t="str">
        <v>311-330HRCT-ND</v>
      </c>
      <c r="G29" s="32" t="str">
        <v>Open product</v>
      </c>
      <c r="H29" s="22" t="str">
        <v>In stock on supplier page; confirm at quote</v>
      </c>
      <c r="I29" s="30" t="n">
        <v>46288</v>
      </c>
      <c r="J29" s="34" t="str">
        <v>330 1% 0.1W</v>
      </c>
      <c r="K29" s="28" t="str">
        <v>Top</v>
      </c>
      <c r="L29" s="22" t="str">
        <v>Observed_R6</v>
      </c>
      <c r="M29" s="2"/>
      <c r="N29" s="7" t="str">
        <v>Cut tape; full-reel code 311-330HRTR-ND.</v>
      </c>
    </row>
    <row r="30" ht="27" customHeight="1">
      <c r="A30" s="27" t="n">
        <v>2</v>
      </c>
      <c r="B30" s="35" t="str">
        <v>R7, R8</v>
      </c>
      <c r="C30" s="29" t="str">
        <v>RC0603FR-0727RL</v>
      </c>
      <c r="D30" s="35" t="str">
        <v>YAGEO</v>
      </c>
      <c r="E30" s="29" t="str">
        <v>DigiKey</v>
      </c>
      <c r="F30" s="35" t="str">
        <v>311-27.0HRCT-ND</v>
      </c>
      <c r="G30" s="33" t="str">
        <v>Open product</v>
      </c>
      <c r="H30" s="25" t="str">
        <v>In stock on supplier page; confirm at quote</v>
      </c>
      <c r="I30" s="31" t="n">
        <v>46288</v>
      </c>
      <c r="J30" s="35" t="str">
        <v>27R 1% 0.1W</v>
      </c>
      <c r="K30" s="29" t="str">
        <v>Top</v>
      </c>
      <c r="L30" s="25" t="str">
        <v>Observed_R7; Observed_R8</v>
      </c>
      <c r="M30" s="2"/>
      <c r="N30" s="7" t="str">
        <v>Cut tape; full-reel code 311-27.0HRTR-ND.</v>
      </c>
    </row>
    <row r="31" ht="27" customHeight="1">
      <c r="A31" s="26" t="n">
        <v>2</v>
      </c>
      <c r="B31" s="34" t="str">
        <v>R9, R11</v>
      </c>
      <c r="C31" s="28" t="str">
        <v>RC0603FR-074K7L</v>
      </c>
      <c r="D31" s="34" t="str">
        <v>YAGEO</v>
      </c>
      <c r="E31" s="28" t="str">
        <v>DigiKey</v>
      </c>
      <c r="F31" s="34" t="str">
        <v>311-4.70KHRCT-ND</v>
      </c>
      <c r="G31" s="32" t="str">
        <v>Open product</v>
      </c>
      <c r="H31" s="22" t="str">
        <v>In stock on supplier page; confirm at quote</v>
      </c>
      <c r="I31" s="30" t="n">
        <v>46288</v>
      </c>
      <c r="J31" s="34" t="str">
        <v>4.7k 1% 0.1W</v>
      </c>
      <c r="K31" s="28" t="str">
        <v>Top</v>
      </c>
      <c r="L31" s="22" t="str">
        <v>Observed_R9; Observed_R11</v>
      </c>
      <c r="M31" s="2"/>
      <c r="N31" s="7" t="str">
        <v>Cut tape; full-reel code 311-4.70KHRTR-ND.</v>
      </c>
    </row>
    <row r="32" ht="37" customHeight="1">
      <c r="A32" s="27" t="n">
        <v>1</v>
      </c>
      <c r="B32" s="35" t="str">
        <v>RN</v>
      </c>
      <c r="C32" s="29" t="str">
        <v>MNR04M0APJ101</v>
      </c>
      <c r="D32" s="35" t="str">
        <v>ROHM</v>
      </c>
      <c r="E32" s="29" t="str">
        <v>CoreStaff (Zaikostore)</v>
      </c>
      <c r="F32" s="35" t="str">
        <v>pr12455304 (catalog product ID)</v>
      </c>
      <c r="G32" s="33" t="str">
        <v>Open product</v>
      </c>
      <c r="H32" s="25" t="str">
        <v>In stock on supplier page; confirm exact MPN and order identifier at quote</v>
      </c>
      <c r="I32" s="31" t="n">
        <v>46288</v>
      </c>
      <c r="J32" s="35" t="str">
        <v>4x100R</v>
      </c>
      <c r="K32" s="29" t="str">
        <v>Top</v>
      </c>
      <c r="L32" s="25" t="str">
        <v>Observed_RN</v>
      </c>
      <c r="M32" s="2"/>
      <c r="N32" s="7" t="str">
        <v>Supplier ID is catalog ID, not a separate SKU. Confirm exact MPN/ordering code at quote.</v>
      </c>
    </row>
    <row r="33" ht="37" customHeight="1">
      <c r="A33" s="26" t="n">
        <v>1</v>
      </c>
      <c r="B33" s="34" t="str">
        <v>SW_BOOT</v>
      </c>
      <c r="C33" s="28" t="str">
        <v>ST-1185S</v>
      </c>
      <c r="D33" s="34" t="str">
        <v>RI SHENG</v>
      </c>
      <c r="E33" s="28" t="str">
        <v>LCSC</v>
      </c>
      <c r="F33" s="34" t="str">
        <v>C589191</v>
      </c>
      <c r="G33" s="32" t="str">
        <v>Open product</v>
      </c>
      <c r="H33" s="22" t="str">
        <v>Listed; not available now. Supplier confirmation required</v>
      </c>
      <c r="I33" s="30" t="n">
        <v>46288</v>
      </c>
      <c r="J33" s="34" t="str">
        <v>BOOT / ST-1185S</v>
      </c>
      <c r="K33" s="28" t="str">
        <v>Top</v>
      </c>
      <c r="L33" s="22" t="str">
        <v>Observed_SW_BOOT</v>
      </c>
      <c r="M33" s="2"/>
      <c r="N33" s="7" t="str">
        <v>Unavailable at listed source; obtain an exact-part quote before assembly.</v>
      </c>
    </row>
    <row r="34" ht="37" customHeight="1">
      <c r="A34" s="27" t="n">
        <v>1</v>
      </c>
      <c r="B34" s="35" t="str">
        <v>U_ACT</v>
      </c>
      <c r="C34" s="29" t="str">
        <v>BC857BS,115</v>
      </c>
      <c r="D34" s="35" t="str">
        <v>Nexperia</v>
      </c>
      <c r="E34" s="29" t="str">
        <v>Mouser</v>
      </c>
      <c r="F34" s="35" t="str">
        <v>771-BC857BS-T/R</v>
      </c>
      <c r="G34" s="33" t="str">
        <v>Open product</v>
      </c>
      <c r="H34" s="25" t="str">
        <v>Listing reports in stock; reconfirm at quote.</v>
      </c>
      <c r="I34" s="31" t="n">
        <v>46288</v>
      </c>
      <c r="J34" s="35" t="str">
        <v>Dual PNP activity driver</v>
      </c>
      <c r="K34" s="29" t="str">
        <v>Top</v>
      </c>
      <c r="L34" s="25" t="str">
        <v>Observed_U_ACT</v>
      </c>
      <c r="M34" s="2"/>
      <c r="N34" s="7" t="str">
        <v>Selected PNP; original polarity unresolved. Exact Nexperia part, cut tape.</v>
      </c>
    </row>
    <row r="35" ht="51" customHeight="1">
      <c r="A35" s="26" t="n">
        <v>1</v>
      </c>
      <c r="B35" s="34" t="str">
        <v>U1</v>
      </c>
      <c r="C35" s="28" t="str">
        <v>RP2040</v>
      </c>
      <c r="D35" s="34" t="str">
        <v>Raspberry Pi</v>
      </c>
      <c r="E35" s="28" t="str">
        <v>LCSC</v>
      </c>
      <c r="F35" s="34" t="str">
        <v>C2040</v>
      </c>
      <c r="G35" s="32" t="str">
        <v>Open product</v>
      </c>
      <c r="H35" s="22" t="str">
        <v>Listing reports in stock; reconfirm at quote.</v>
      </c>
      <c r="I35" s="30" t="n">
        <v>46288</v>
      </c>
      <c r="J35" s="34" t="str">
        <v>RP2040</v>
      </c>
      <c r="K35" s="28" t="str">
        <v>Top</v>
      </c>
      <c r="L35" s="22" t="str">
        <v>Observed_U1</v>
      </c>
      <c r="M35" s="2"/>
      <c r="N35" s="36" t="str">
        <v>Original marking: RP2-B2 / PHN281.00. RP2-B2 identifies RP2040 B2 silicon; PHN281.00 is an additional package marking, not the ordering MPN. Order RP2040.</v>
      </c>
    </row>
    <row r="36" ht="37" customHeight="1">
      <c r="A36" s="27" t="n">
        <v>1</v>
      </c>
      <c r="B36" s="35" t="str">
        <v>U2</v>
      </c>
      <c r="C36" s="29" t="str">
        <v>W25Q128JVSIQ</v>
      </c>
      <c r="D36" s="35" t="str">
        <v>Winbond Electronics</v>
      </c>
      <c r="E36" s="29" t="str">
        <v>DigiKey</v>
      </c>
      <c r="F36" s="35" t="str">
        <v>W25Q128JVSIQ-ND</v>
      </c>
      <c r="G36" s="33" t="str">
        <v>Open product</v>
      </c>
      <c r="H36" s="25" t="str">
        <v>Listing reports in stock; reconfirm at quote.</v>
      </c>
      <c r="I36" s="31" t="n">
        <v>46288</v>
      </c>
      <c r="J36" s="35" t="str">
        <v>W25Q128JVSIQ</v>
      </c>
      <c r="K36" s="29" t="str">
        <v>Top</v>
      </c>
      <c r="L36" s="25" t="str">
        <v>Observed_U2</v>
      </c>
      <c r="M36" s="2"/>
      <c r="N36" s="7" t="str">
        <v>Tube packaging. Exact SOIC-8, 208-mil width variant.</v>
      </c>
    </row>
    <row r="37" ht="37" customHeight="1">
      <c r="A37" s="26" t="n">
        <v>1</v>
      </c>
      <c r="B37" s="34" t="str">
        <v>VREG</v>
      </c>
      <c r="C37" s="28" t="str">
        <v>ME6215C33M5G</v>
      </c>
      <c r="D37" s="34" t="str">
        <v>MICRONE</v>
      </c>
      <c r="E37" s="28" t="str">
        <v>LCSC</v>
      </c>
      <c r="F37" s="34" t="str">
        <v>C84119</v>
      </c>
      <c r="G37" s="32" t="str">
        <v>Open product</v>
      </c>
      <c r="H37" s="22" t="str">
        <v>Listing reports in stock; reconfirm at quote.</v>
      </c>
      <c r="I37" s="30" t="n">
        <v>46288</v>
      </c>
      <c r="J37" s="34" t="str">
        <v>3.3 V enabled LDO</v>
      </c>
      <c r="K37" s="28" t="str">
        <v>Top</v>
      </c>
      <c r="L37" s="22" t="str">
        <v>Observed_VREG</v>
      </c>
      <c r="M37" s="2"/>
      <c r="N37" s="7" t="str">
        <v>Selected LDO; E3Ya identity unconfirmed. MOQ 5, 3.3 V SOT-23-5.</v>
      </c>
    </row>
    <row r="38" ht="27" customHeight="1">
      <c r="A38" s="27" t="n">
        <v>1</v>
      </c>
      <c r="B38" s="35" t="str">
        <v>Y1</v>
      </c>
      <c r="C38" s="29" t="str">
        <v>ABM8-272-T3</v>
      </c>
      <c r="D38" s="35" t="str">
        <v>Abracon LLC</v>
      </c>
      <c r="E38" s="29" t="str">
        <v>DigiKey</v>
      </c>
      <c r="F38" s="35" t="str">
        <v>535-ABM8-272-T3CT-ND</v>
      </c>
      <c r="G38" s="33" t="str">
        <v>Open product</v>
      </c>
      <c r="H38" s="25" t="str">
        <v>In stock: 28,705 shown; confirm at quote</v>
      </c>
      <c r="I38" s="31" t="n">
        <v>46288</v>
      </c>
      <c r="J38" s="35" t="str">
        <v>12MHz</v>
      </c>
      <c r="K38" s="29" t="str">
        <v>Top</v>
      </c>
      <c r="L38" s="25" t="str">
        <v>Observed_Y1</v>
      </c>
      <c r="M38" s="2"/>
      <c r="N38" s="7" t="str">
        <v>Cut tape. Exact 12 MHz, 10 pF load variant.</v>
      </c>
    </row>
  </sheetData>
  <conditionalFormatting sqref="H9:H38">
    <cfRule type="containsText" dxfId="0" priority="1" operator="containsText" text="not available"/>
    <cfRule type="containsText" dxfId="1" priority="2" operator="containsText" text="out of stock"/>
    <cfRule type="containsText" dxfId="2" priority="3" operator="containsText" text="confirm exact MPN and order identifier"/>
  </conditionalFormatting>
  <hyperlinks>
    <hyperlink ref="G9" r:id="rIdProduct9" display="Open product" tooltip="https://www.lcsc.com/product-detail/C100082.html"/>
    <hyperlink ref="G10" r:id="rIdProduct10" display="Open product" tooltip="https://www.lcsc.com/product-detail/C1591.html"/>
    <hyperlink ref="G11" r:id="rIdProduct11" display="Open product" tooltip="https://www.digikey.com/en/products/detail/samsung-electro-mechanics/CL10C150JB8NNNC/3886954"/>
    <hyperlink ref="G12" r:id="rIdProduct12" display="Open product" tooltip="https://www.lcsc.com/product-detail/C29936.html"/>
    <hyperlink ref="G13" r:id="rIdProduct13" display="Open product" tooltip="https://www.lcsc.com/product-detail/C37704.html"/>
    <hyperlink ref="G14" r:id="rIdProduct14" display="Open product" tooltip="https://www.digikey.com/en/products/detail/texas-instruments/TPS22919DCKR/10434801"/>
    <hyperlink ref="G15" r:id="rIdProduct15" display="Open product" tooltip="https://www.digikey.com/en/products/detail/jst-sales-america-inc/SM03B-SRSS-TB/926709"/>
    <hyperlink ref="G16" r:id="rIdProduct16" display="Open product" tooltip="https://www.digikey.com/en/products/detail/jst-sales-america-inc/SM04B-SRSS-TB/926710"/>
    <hyperlink ref="G17" r:id="rIdProduct17" display="Open product" tooltip="https://www.digikey.com/en/products/detail/jst-sales-america-inc/SM04B-SRSS-TB/926710"/>
    <hyperlink ref="G18" r:id="rIdProduct18" display="Open product" tooltip="https://www.digikey.com/en/products/detail/jst-sales-america-inc/SM06B-SRSS-TB-LF-SN/926712"/>
    <hyperlink ref="G19" r:id="rIdProduct19" display="Open product" tooltip="https://www.digikey.com/en/products/detail/harwin-inc/M20-7830842/3727786"/>
    <hyperlink ref="G20" r:id="rIdProduct20" display="Open product" tooltip="https://www.digikey.com/en/products/detail/jst-sales-america-inc/SM04B-SRSS-TB/926710"/>
    <hyperlink ref="G21" r:id="rIdProduct21" display="Open product" tooltip="https://www.digikey.com/en/products/detail/jst-sales-america-inc/SM04B-SRSS-TB/926710"/>
    <hyperlink ref="G22" r:id="rIdProduct22" display="Open product" tooltip="https://www.lcsc.com/product-detail/USB-Connectors_XUNPU-TYPEC-304-BCP16_C720629.html"/>
    <hyperlink ref="G23" r:id="rIdProduct23" display="Open product" tooltip="https://www.digikey.com/en/products/detail/jst-sales-america-inc/SM04B-SRSS-TB/926710"/>
    <hyperlink ref="G24" r:id="rIdProduct24" display="Open product" tooltip="https://www.lcsc.com/product-detail/C52941386.html"/>
    <hyperlink ref="G25" r:id="rIdProduct25" display="Open product" tooltip="https://www.digikey.com/en/products/detail/liteon/LTST-C190TBKT/388529"/>
    <hyperlink ref="G26" r:id="rIdProduct26" display="Open product" tooltip="https://www.digikey.com/en/products/detail/yageo/RC0603FR-071KL/729790"/>
    <hyperlink ref="G27" r:id="rIdProduct27" display="Open product" tooltip="https://www.digikey.com/en/products/detail/yageo/RC0603FR-07470RL/727256"/>
    <hyperlink ref="G28" r:id="rIdProduct28" display="Open product" tooltip="https://www.lcsc.com/product-detail/C105580.html"/>
    <hyperlink ref="G29" r:id="rIdProduct29" display="Open product" tooltip="https://www.digikey.com/en/products/detail/yageo/RC0603FR-07330RL/727162"/>
    <hyperlink ref="G30" r:id="rIdProduct30" display="Open product" tooltip="https://www.digikey.com/en/products/detail/yageo/RC0603FR-0727RL/727099"/>
    <hyperlink ref="G31" r:id="rIdProduct31" display="Open product" tooltip="https://www.digikey.com/en/products/detail/yageo/RC0603FR-074K7L/730159"/>
    <hyperlink ref="G32" r:id="rIdProduct32" display="Open product" tooltip="https://www.zaikostore.com/zaikostore/stockDetail?productIdOfHitotsukara=pr12455304&amp;productName_forFind=MNR04M0APJ101&amp;typeStock_forFind=all"/>
    <hyperlink ref="G33" r:id="rIdProduct33" display="Open product" tooltip="https://www.lcsc.com/product-detail/tactile-switches_ri-sheng-st-1185s_C589191.html"/>
    <hyperlink ref="G34" r:id="rIdProduct34" display="Open product" tooltip="https://www.mouser.com/ProductDetail/Nexperia/BC857BS115?qs=me8TqzrmIYUTVIx%252BZhNjFA%3D%3D"/>
    <hyperlink ref="G35" r:id="rIdProduct35" display="Open product" tooltip="https://www.lcsc.com/product-detail/_Raspberry-Pi-RP2040_C2040.html"/>
    <hyperlink ref="G36" r:id="rIdProduct36" display="Open product" tooltip="https://www.digikey.com/en/products/detail/winbond-electronics/W25Q128JVSIQ/W25Q128JVSIQ-ND/5803943"/>
    <hyperlink ref="G37" r:id="rIdProduct37" display="Open product" tooltip="https://www.lcsc.com/product-detail/C84119.html"/>
    <hyperlink ref="G38" r:id="rIdProduct38" display="Open product" tooltip="https://www.digikey.com/en/products/detail/abracon-llc/ABM8-272-T3/22472366"/>
  </hyperlinks>
  <pageMargins left="0.7" right="0.7" top="0.75" bottom="0.75" header="0.3" footer="0.3"/>
  <tableParts count="1">
    <tablePart r:id="Rff6ceeb337ba4607"/>
  </tableParts>
</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2.5" hidden="0" customWidth="1"/>
    <x:col min="2" max="2" width="25.6299991607666" hidden="0" customWidth="1"/>
    <x:col min="3" max="3" width="33.75" hidden="0" customWidth="1"/>
    <x:col min="4" max="4" width="9" hidden="0" customWidth="1"/>
    <x:col min="5" max="5" width="10.630000114440918" hidden="0" customWidth="1"/>
    <x:col min="6" max="6" width="10.630000114440918" hidden="0" customWidth="1"/>
    <x:col min="7" max="7" width="11.880000114440918" hidden="0" customWidth="1"/>
    <x:col min="8" max="8" width="47.5" hidden="0" customWidth="1"/>
    <x:col min="9" max="9" width="6.25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MODXO ApexusNULL — Placement by Reference</x:v>
      </x:c>
      <x:c r="B2" s="2"/>
      <x:c r="C2" s="2"/>
      <x:c r="D2" s="2"/>
      <x:c r="E2" s="2"/>
      <x:c r="F2" s="2"/>
      <x:c r="G2" s="2"/>
      <x:c r="H2" s="2"/>
      <x:c r="I2" s="2"/>
    </x:row>
    <x:row r="3" ht="7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2" customHeight="1">
      <x:c r="A4" s="7" t="str">
        <x:v>51 fitted components. Coordinates and rotations retain the native KiCad export convention.</x:v>
      </x:c>
      <x:c r="B4" s="7"/>
      <x:c r="C4" s="7"/>
      <x:c r="D4" s="7"/>
      <x:c r="E4" s="7"/>
      <x:c r="F4" s="7"/>
      <x:c r="G4" s="7"/>
      <x:c r="H4" s="7"/>
      <x:c r="I4" s="7"/>
    </x:row>
    <x:row r="5" ht="22" customHeight="1">
      <x:c r="A5" s="7" t="str">
        <x:v>X/Y in mm; negative Y is intentional. J_LPC is a bottom through-hole socket and uses the footprint anchor.</x:v>
      </x:c>
      <x:c r="B5" s="7"/>
      <x:c r="C5" s="7"/>
      <x:c r="D5" s="7"/>
      <x:c r="E5" s="7"/>
      <x:c r="F5" s="7"/>
      <x:c r="G5" s="7"/>
      <x:c r="H5" s="7"/>
      <x:c r="I5" s="7"/>
    </x:row>
    <x:row r="6" ht="22" customHeight="1">
      <x:c r="A6" s="7" t="str">
        <x:v>Source: supplied fitted BOM and native component-position export for the corrected PCB.</x:v>
      </x:c>
      <x:c r="B6" s="7"/>
      <x:c r="C6" s="7"/>
      <x:c r="D6" s="7"/>
      <x:c r="E6" s="7"/>
      <x:c r="F6" s="7"/>
      <x:c r="G6" s="7"/>
      <x:c r="H6" s="7"/>
      <x:c r="I6" s="7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15" t="str">
        <x:v>Reference</x:v>
      </x:c>
      <x:c r="B8" s="16" t="str">
        <x:v>Manufacturer part number</x:v>
      </x:c>
      <x:c r="C8" s="16" t="str">
        <x:v>Value / description</x:v>
      </x:c>
      <x:c r="D8" s="16" t="str">
        <x:v>Side</x:v>
      </x:c>
      <x:c r="E8" s="16" t="str">
        <x:v>X (mm)</x:v>
      </x:c>
      <x:c r="F8" s="16" t="str">
        <x:v>Y (mm)</x:v>
      </x:c>
      <x:c r="G8" s="16" t="str">
        <x:v>Rotation (°)</x:v>
      </x:c>
      <x:c r="H8" s="16" t="str">
        <x:v>Footprint</x:v>
      </x:c>
      <x:c r="I8" s="17" t="str">
        <x:v>Qty</x:v>
      </x:c>
    </x:row>
    <x:row r="9" ht="25" customHeight="1">
      <x:c r="A9" s="44" t="str">
        <x:v>C2</x:v>
      </x:c>
      <x:c r="B9" s="44" t="str">
        <x:v>CL10B225KP8NNNC</x:v>
      </x:c>
      <x:c r="C9" s="44" t="str">
        <x:v>2.2uF 10V X7R 10%</x:v>
      </x:c>
      <x:c r="D9" s="44" t="str">
        <x:v>Top</x:v>
      </x:c>
      <x:c r="E9" s="45" t="n">
        <x:v>16.85</x:v>
      </x:c>
      <x:c r="F9" s="45" t="n">
        <x:v>-19.9</x:v>
      </x:c>
      <x:c r="G9" s="46" t="n">
        <x:v>90</x:v>
      </x:c>
      <x:c r="H9" s="44" t="str">
        <x:v>MODXO_ApexusNULL_Footprints:Observed_C2</x:v>
      </x:c>
      <x:c r="I9" s="47" t="n">
        <x:v>1</x:v>
      </x:c>
    </x:row>
    <x:row r="10" ht="25" customHeight="1">
      <x:c r="A10" s="37" t="str">
        <x:v>C3</x:v>
      </x:c>
      <x:c r="B10" s="37" t="str">
        <x:v>CL10B104KB8NNNC</x:v>
      </x:c>
      <x:c r="C10" s="37" t="str">
        <x:v>100nF 50V X7R 10%</x:v>
      </x:c>
      <x:c r="D10" s="37" t="str">
        <x:v>Top</x:v>
      </x:c>
      <x:c r="E10" s="41" t="n">
        <x:v>20.1</x:v>
      </x:c>
      <x:c r="F10" s="41" t="n">
        <x:v>-19.85</x:v>
      </x:c>
      <x:c r="G10" s="42" t="n">
        <x:v>90</x:v>
      </x:c>
      <x:c r="H10" s="37" t="str">
        <x:v>MODXO_ApexusNULL_Footprints:Observed_C3</x:v>
      </x:c>
      <x:c r="I10" s="43" t="n">
        <x:v>1</x:v>
      </x:c>
    </x:row>
    <x:row r="11" ht="25" customHeight="1">
      <x:c r="A11" s="44" t="str">
        <x:v>C4</x:v>
      </x:c>
      <x:c r="B11" s="44" t="str">
        <x:v>CL10B225KP8NNNC</x:v>
      </x:c>
      <x:c r="C11" s="44" t="str">
        <x:v>2.2uF 10V X7R 10%</x:v>
      </x:c>
      <x:c r="D11" s="44" t="str">
        <x:v>Top</x:v>
      </x:c>
      <x:c r="E11" s="45" t="n">
        <x:v>15.75</x:v>
      </x:c>
      <x:c r="F11" s="45" t="n">
        <x:v>-19.9</x:v>
      </x:c>
      <x:c r="G11" s="46" t="n">
        <x:v>90</x:v>
      </x:c>
      <x:c r="H11" s="44" t="str">
        <x:v>MODXO_ApexusNULL_Footprints:Observed_C4</x:v>
      </x:c>
      <x:c r="I11" s="47" t="n">
        <x:v>1</x:v>
      </x:c>
    </x:row>
    <x:row r="12" ht="25" customHeight="1">
      <x:c r="A12" s="37" t="str">
        <x:v>C5</x:v>
      </x:c>
      <x:c r="B12" s="37" t="str">
        <x:v>CL10B104KB8NNNC</x:v>
      </x:c>
      <x:c r="C12" s="37" t="str">
        <x:v>100nF 50V X7R 10%</x:v>
      </x:c>
      <x:c r="D12" s="37" t="str">
        <x:v>Top</x:v>
      </x:c>
      <x:c r="E12" s="41" t="n">
        <x:v>14.35</x:v>
      </x:c>
      <x:c r="F12" s="41" t="n">
        <x:v>-14.15</x:v>
      </x:c>
      <x:c r="G12" s="42" t="n">
        <x:v>90</x:v>
      </x:c>
      <x:c r="H12" s="37" t="str">
        <x:v>MODXO_ApexusNULL_Footprints:Observed_C5</x:v>
      </x:c>
      <x:c r="I12" s="43" t="n">
        <x:v>1</x:v>
      </x:c>
    </x:row>
    <x:row r="13" ht="25" customHeight="1">
      <x:c r="A13" s="44" t="str">
        <x:v>C6</x:v>
      </x:c>
      <x:c r="B13" s="44" t="str">
        <x:v>CL10B104KB8NNNC</x:v>
      </x:c>
      <x:c r="C13" s="44" t="str">
        <x:v>100nF 50V X7R 10%</x:v>
      </x:c>
      <x:c r="D13" s="44" t="str">
        <x:v>Top</x:v>
      </x:c>
      <x:c r="E13" s="45" t="n">
        <x:v>23.4</x:v>
      </x:c>
      <x:c r="F13" s="45" t="n">
        <x:v>-18.4</x:v>
      </x:c>
      <x:c r="G13" s="46" t="n">
        <x:v>90</x:v>
      </x:c>
      <x:c r="H13" s="44" t="str">
        <x:v>MODXO_ApexusNULL_Footprints:Observed_C6</x:v>
      </x:c>
      <x:c r="I13" s="47" t="n">
        <x:v>1</x:v>
      </x:c>
    </x:row>
    <x:row r="14" ht="25" customHeight="1">
      <x:c r="A14" s="37" t="str">
        <x:v>C7</x:v>
      </x:c>
      <x:c r="B14" s="37" t="str">
        <x:v>CL10B104KB8NNNC</x:v>
      </x:c>
      <x:c r="C14" s="37" t="str">
        <x:v>100nF 50V X7R 10%</x:v>
      </x:c>
      <x:c r="D14" s="37" t="str">
        <x:v>Top</x:v>
      </x:c>
      <x:c r="E14" s="41" t="n">
        <x:v>24.3</x:v>
      </x:c>
      <x:c r="F14" s="41" t="n">
        <x:v>-13.1</x:v>
      </x:c>
      <x:c r="G14" s="42" t="n">
        <x:v>0</x:v>
      </x:c>
      <x:c r="H14" s="37" t="str">
        <x:v>MODXO_ApexusNULL_Footprints:Observed_C7</x:v>
      </x:c>
      <x:c r="I14" s="43" t="n">
        <x:v>1</x:v>
      </x:c>
    </x:row>
    <x:row r="15" ht="25" customHeight="1">
      <x:c r="A15" s="44" t="str">
        <x:v>C8</x:v>
      </x:c>
      <x:c r="B15" s="44" t="str">
        <x:v>CL10B104KB8NNNC</x:v>
      </x:c>
      <x:c r="C15" s="44" t="str">
        <x:v>100nF 50V X7R 10%</x:v>
      </x:c>
      <x:c r="D15" s="44" t="str">
        <x:v>Top</x:v>
      </x:c>
      <x:c r="E15" s="45" t="n">
        <x:v>17.95</x:v>
      </x:c>
      <x:c r="F15" s="45" t="n">
        <x:v>-19.9</x:v>
      </x:c>
      <x:c r="G15" s="46" t="n">
        <x:v>90</x:v>
      </x:c>
      <x:c r="H15" s="44" t="str">
        <x:v>MODXO_ApexusNULL_Footprints:Observed_C8</x:v>
      </x:c>
      <x:c r="I15" s="47" t="n">
        <x:v>1</x:v>
      </x:c>
    </x:row>
    <x:row r="16" ht="25" customHeight="1">
      <x:c r="A16" s="37" t="str">
        <x:v>C9</x:v>
      </x:c>
      <x:c r="B16" s="37" t="str">
        <x:v>CL10B104KB8NNNC</x:v>
      </x:c>
      <x:c r="C16" s="37" t="str">
        <x:v>100nF 50V X7R 10%</x:v>
      </x:c>
      <x:c r="D16" s="37" t="str">
        <x:v>Top</x:v>
      </x:c>
      <x:c r="E16" s="41" t="n">
        <x:v>19.3</x:v>
      </x:c>
      <x:c r="F16" s="41" t="n">
        <x:v>-8.8</x:v>
      </x:c>
      <x:c r="G16" s="42" t="n">
        <x:v>90</x:v>
      </x:c>
      <x:c r="H16" s="37" t="str">
        <x:v>MODXO_ApexusNULL_Footprints:Observed_C9</x:v>
      </x:c>
      <x:c r="I16" s="43" t="n">
        <x:v>1</x:v>
      </x:c>
    </x:row>
    <x:row r="17" ht="25" customHeight="1">
      <x:c r="A17" s="44" t="str">
        <x:v>C10</x:v>
      </x:c>
      <x:c r="B17" s="44" t="str">
        <x:v>CL10B104KB8NNNC</x:v>
      </x:c>
      <x:c r="C17" s="44" t="str">
        <x:v>100nF 50V X7R 10%</x:v>
      </x:c>
      <x:c r="D17" s="44" t="str">
        <x:v>Top</x:v>
      </x:c>
      <x:c r="E17" s="45" t="n">
        <x:v>19.05</x:v>
      </x:c>
      <x:c r="F17" s="45" t="n">
        <x:v>-19.9</x:v>
      </x:c>
      <x:c r="G17" s="46" t="n">
        <x:v>90</x:v>
      </x:c>
      <x:c r="H17" s="44" t="str">
        <x:v>MODXO_ApexusNULL_Footprints:Observed_C10</x:v>
      </x:c>
      <x:c r="I17" s="47" t="n">
        <x:v>1</x:v>
      </x:c>
    </x:row>
    <x:row r="18" ht="25" customHeight="1">
      <x:c r="A18" s="37" t="str">
        <x:v>C11</x:v>
      </x:c>
      <x:c r="B18" s="37" t="str">
        <x:v>CL10B104KB8NNNC</x:v>
      </x:c>
      <x:c r="C18" s="37" t="str">
        <x:v>100nF 50V X7R 10%</x:v>
      </x:c>
      <x:c r="D18" s="37" t="str">
        <x:v>Top</x:v>
      </x:c>
      <x:c r="E18" s="41" t="n">
        <x:v>14.65</x:v>
      </x:c>
      <x:c r="F18" s="41" t="n">
        <x:v>-19.9</x:v>
      </x:c>
      <x:c r="G18" s="42" t="n">
        <x:v>90</x:v>
      </x:c>
      <x:c r="H18" s="37" t="str">
        <x:v>MODXO_ApexusNULL_Footprints:Observed_C11</x:v>
      </x:c>
      <x:c r="I18" s="43" t="n">
        <x:v>1</x:v>
      </x:c>
    </x:row>
    <x:row r="19" ht="25" customHeight="1">
      <x:c r="A19" s="44" t="str">
        <x:v>C12</x:v>
      </x:c>
      <x:c r="B19" s="44" t="str">
        <x:v>CL10C150JB8NNNC</x:v>
      </x:c>
      <x:c r="C19" s="44" t="str">
        <x:v>15pF 50V C0G 5%</x:v>
      </x:c>
      <x:c r="D19" s="44" t="str">
        <x:v>Top</x:v>
      </x:c>
      <x:c r="E19" s="45" t="n">
        <x:v>21.5</x:v>
      </x:c>
      <x:c r="F19" s="45" t="n">
        <x:v>-8.75</x:v>
      </x:c>
      <x:c r="G19" s="46" t="n">
        <x:v>0</x:v>
      </x:c>
      <x:c r="H19" s="44" t="str">
        <x:v>MODXO_ApexusNULL_Footprints:Observed_C12</x:v>
      </x:c>
      <x:c r="I19" s="47" t="n">
        <x:v>1</x:v>
      </x:c>
    </x:row>
    <x:row r="20" ht="25" customHeight="1">
      <x:c r="A20" s="37" t="str">
        <x:v>C13</x:v>
      </x:c>
      <x:c r="B20" s="37" t="str">
        <x:v>CL10C150JB8NNNC</x:v>
      </x:c>
      <x:c r="C20" s="37" t="str">
        <x:v>15pF 50V C0G 5%</x:v>
      </x:c>
      <x:c r="D20" s="37" t="str">
        <x:v>Top</x:v>
      </x:c>
      <x:c r="E20" s="41" t="n">
        <x:v>21.5</x:v>
      </x:c>
      <x:c r="F20" s="41" t="n">
        <x:v>-7.6</x:v>
      </x:c>
      <x:c r="G20" s="42" t="n">
        <x:v>0</x:v>
      </x:c>
      <x:c r="H20" s="37" t="str">
        <x:v>MODXO_ApexusNULL_Footprints:Observed_C13</x:v>
      </x:c>
      <x:c r="I20" s="43" t="n">
        <x:v>1</x:v>
      </x:c>
    </x:row>
    <x:row r="21" ht="25" customHeight="1">
      <x:c r="A21" s="44" t="str">
        <x:v>C14</x:v>
      </x:c>
      <x:c r="B21" s="44" t="str">
        <x:v>CL10B104KB8NNNC</x:v>
      </x:c>
      <x:c r="C21" s="44" t="str">
        <x:v>100nF 50V X7R 10%</x:v>
      </x:c>
      <x:c r="D21" s="44" t="str">
        <x:v>Top</x:v>
      </x:c>
      <x:c r="E21" s="45" t="n">
        <x:v>16.9</x:v>
      </x:c>
      <x:c r="F21" s="45" t="n">
        <x:v>-24.75</x:v>
      </x:c>
      <x:c r="G21" s="46" t="n">
        <x:v>90</x:v>
      </x:c>
      <x:c r="H21" s="44" t="str">
        <x:v>MODXO_ApexusNULL_Footprints:Observed_C14</x:v>
      </x:c>
      <x:c r="I21" s="47" t="n">
        <x:v>1</x:v>
      </x:c>
    </x:row>
    <x:row r="22" ht="25" customHeight="1">
      <x:c r="A22" s="37" t="str">
        <x:v>C15</x:v>
      </x:c>
      <x:c r="B22" s="37" t="str">
        <x:v>CL10B225KP8NNNC</x:v>
      </x:c>
      <x:c r="C22" s="37" t="str">
        <x:v>2.2uF 10V X7R 10%</x:v>
      </x:c>
      <x:c r="D22" s="37" t="str">
        <x:v>Top</x:v>
      </x:c>
      <x:c r="E22" s="41" t="n">
        <x:v>15.65</x:v>
      </x:c>
      <x:c r="F22" s="41" t="n">
        <x:v>-24.75</x:v>
      </x:c>
      <x:c r="G22" s="42" t="n">
        <x:v>90</x:v>
      </x:c>
      <x:c r="H22" s="37" t="str">
        <x:v>MODXO_ApexusNULL_Footprints:Observed_C15</x:v>
      </x:c>
      <x:c r="I22" s="43" t="n">
        <x:v>1</x:v>
      </x:c>
    </x:row>
    <x:row r="23" ht="25" customHeight="1">
      <x:c r="A23" s="44" t="str">
        <x:v>C16</x:v>
      </x:c>
      <x:c r="B23" s="44" t="str">
        <x:v>CL10B104KB8NNNC</x:v>
      </x:c>
      <x:c r="C23" s="44" t="str">
        <x:v>100nF 50V X7R 10%</x:v>
      </x:c>
      <x:c r="D23" s="44" t="str">
        <x:v>Top</x:v>
      </x:c>
      <x:c r="E23" s="45" t="n">
        <x:v>11</x:v>
      </x:c>
      <x:c r="F23" s="45" t="n">
        <x:v>-8.65</x:v>
      </x:c>
      <x:c r="G23" s="46" t="n">
        <x:v>90</x:v>
      </x:c>
      <x:c r="H23" s="44" t="str">
        <x:v>MODXO_ApexusNULL_Footprints:Observed_C16</x:v>
      </x:c>
      <x:c r="I23" s="47" t="n">
        <x:v>1</x:v>
      </x:c>
    </x:row>
    <x:row r="24" ht="25" customHeight="1">
      <x:c r="A24" s="37" t="str">
        <x:v>C19</x:v>
      </x:c>
      <x:c r="B24" s="37" t="str">
        <x:v>CL10B105KA8NNNC</x:v>
      </x:c>
      <x:c r="C24" s="37" t="str">
        <x:v>1uF 25V X7R 10%</x:v>
      </x:c>
      <x:c r="D24" s="37" t="str">
        <x:v>Top</x:v>
      </x:c>
      <x:c r="E24" s="41" t="n">
        <x:v>26.2</x:v>
      </x:c>
      <x:c r="F24" s="41" t="n">
        <x:v>-29.45</x:v>
      </x:c>
      <x:c r="G24" s="42" t="n">
        <x:v>90</x:v>
      </x:c>
      <x:c r="H24" s="37" t="str">
        <x:v>MODXO_ApexusNULL_Footprints:Observed_C19</x:v>
      </x:c>
      <x:c r="I24" s="43" t="n">
        <x:v>1</x:v>
      </x:c>
    </x:row>
    <x:row r="25" ht="25" customHeight="1">
      <x:c r="A25" s="44" t="str">
        <x:v>C22</x:v>
      </x:c>
      <x:c r="B25" s="44" t="str">
        <x:v>CL10B105KA8NNNC</x:v>
      </x:c>
      <x:c r="C25" s="44" t="str">
        <x:v>1uF 25V X7R 10%</x:v>
      </x:c>
      <x:c r="D25" s="44" t="str">
        <x:v>Top</x:v>
      </x:c>
      <x:c r="E25" s="45" t="n">
        <x:v>30.85</x:v>
      </x:c>
      <x:c r="F25" s="45" t="n">
        <x:v>-24.05</x:v>
      </x:c>
      <x:c r="G25" s="46" t="n">
        <x:v>0</x:v>
      </x:c>
      <x:c r="H25" s="44" t="str">
        <x:v>MODXO_ApexusNULL_Footprints:Observed_C22</x:v>
      </x:c>
      <x:c r="I25" s="47" t="n">
        <x:v>1</x:v>
      </x:c>
    </x:row>
    <x:row r="26" ht="25" customHeight="1">
      <x:c r="A26" s="37" t="str">
        <x:v>C23</x:v>
      </x:c>
      <x:c r="B26" s="37" t="str">
        <x:v>CL10B105KA8NNNC</x:v>
      </x:c>
      <x:c r="C26" s="37" t="str">
        <x:v>1uF 25V X7R 10%</x:v>
      </x:c>
      <x:c r="D26" s="37" t="str">
        <x:v>Top</x:v>
      </x:c>
      <x:c r="E26" s="41" t="n">
        <x:v>32.25</x:v>
      </x:c>
      <x:c r="F26" s="41" t="n">
        <x:v>-34.35</x:v>
      </x:c>
      <x:c r="G26" s="42" t="n">
        <x:v>-90</x:v>
      </x:c>
      <x:c r="H26" s="37" t="str">
        <x:v>MODXO_ApexusNULL_Footprints:Observed_C23</x:v>
      </x:c>
      <x:c r="I26" s="43" t="n">
        <x:v>1</x:v>
      </x:c>
    </x:row>
    <x:row r="27" ht="25" customHeight="1">
      <x:c r="A27" s="44" t="str">
        <x:v>D1</x:v>
      </x:c>
      <x:c r="B27" s="44" t="str">
        <x:v>BAT54C,215</x:v>
      </x:c>
      <x:c r="C27" s="44" t="str">
        <x:v>BAT54C dual Schottky common cathode</x:v>
      </x:c>
      <x:c r="D27" s="44" t="str">
        <x:v>Top</x:v>
      </x:c>
      <x:c r="E27" s="45" t="n">
        <x:v>30.15</x:v>
      </x:c>
      <x:c r="F27" s="45" t="n">
        <x:v>-26.85</x:v>
      </x:c>
      <x:c r="G27" s="46" t="n">
        <x:v>90</x:v>
      </x:c>
      <x:c r="H27" s="44" t="str">
        <x:v>MODXO_ApexusNULL_Footprints:Observed_D1</x:v>
      </x:c>
      <x:c r="I27" s="47" t="n">
        <x:v>1</x:v>
      </x:c>
    </x:row>
    <x:row r="28" ht="25" customHeight="1">
      <x:c r="A28" s="37" t="str">
        <x:v>IC1</x:v>
      </x:c>
      <x:c r="B28" s="37" t="str">
        <x:v>TPS22919DCKR</x:v>
      </x:c>
      <x:c r="C28" s="37" t="str">
        <x:v>1.6-5.5 V load switch</x:v>
      </x:c>
      <x:c r="D28" s="37" t="str">
        <x:v>Top</x:v>
      </x:c>
      <x:c r="E28" s="41" t="n">
        <x:v>34.55</x:v>
      </x:c>
      <x:c r="F28" s="41" t="n">
        <x:v>-26.4</x:v>
      </x:c>
      <x:c r="G28" s="42" t="n">
        <x:v>90</x:v>
      </x:c>
      <x:c r="H28" s="37" t="str">
        <x:v>MODXO_ApexusNULL_Footprints:Observed_IC1</x:v>
      </x:c>
      <x:c r="I28" s="43" t="n">
        <x:v>1</x:v>
      </x:c>
    </x:row>
    <x:row r="29" ht="25" customHeight="1">
      <x:c r="A29" s="44" t="str">
        <x:v>J_D0</x:v>
      </x:c>
      <x:c r="B29" s="44" t="str">
        <x:v>SM03B-SRSS-TB(LF)(SN)</x:v>
      </x:c>
      <x:c r="C29" s="44" t="str">
        <x:v>D0</x:v>
      </x:c>
      <x:c r="D29" s="44" t="str">
        <x:v>Top</x:v>
      </x:c>
      <x:c r="E29" s="45" t="n">
        <x:v>3.15</x:v>
      </x:c>
      <x:c r="F29" s="45" t="n">
        <x:v>-26.15</x:v>
      </x:c>
      <x:c r="G29" s="46" t="n">
        <x:v>-90</x:v>
      </x:c>
      <x:c r="H29" s="44" t="str">
        <x:v>MODXO_ApexusNULL_Footprints:Observed_J_D0</x:v>
      </x:c>
      <x:c r="I29" s="47" t="n">
        <x:v>1</x:v>
      </x:c>
    </x:row>
    <x:row r="30" ht="25" customHeight="1">
      <x:c r="A30" s="37" t="str">
        <x:v>J_EXP</x:v>
      </x:c>
      <x:c r="B30" s="37" t="str">
        <x:v>SM04B-SRSS-TB(LF)(SN)</x:v>
      </x:c>
      <x:c r="C30" s="37" t="str">
        <x:v>EXP</x:v>
      </x:c>
      <x:c r="D30" s="37" t="str">
        <x:v>Top</x:v>
      </x:c>
      <x:c r="E30" s="41" t="n">
        <x:v>3.15</x:v>
      </x:c>
      <x:c r="F30" s="41" t="n">
        <x:v>-12.8</x:v>
      </x:c>
      <x:c r="G30" s="42" t="n">
        <x:v>-90</x:v>
      </x:c>
      <x:c r="H30" s="37" t="str">
        <x:v>MODXO_ApexusNULL_Footprints:Observed_J_EXP</x:v>
      </x:c>
      <x:c r="I30" s="43" t="n">
        <x:v>1</x:v>
      </x:c>
    </x:row>
    <x:row r="31" ht="25" customHeight="1">
      <x:c r="A31" s="44" t="str">
        <x:v>J_HDD</x:v>
      </x:c>
      <x:c r="B31" s="44" t="str">
        <x:v>SM04B-SRSS-TB(LF)(SN)</x:v>
      </x:c>
      <x:c r="C31" s="44" t="str">
        <x:v>HDD</x:v>
      </x:c>
      <x:c r="D31" s="44" t="str">
        <x:v>Top</x:v>
      </x:c>
      <x:c r="E31" s="45" t="n">
        <x:v>3.1</x:v>
      </x:c>
      <x:c r="F31" s="45" t="n">
        <x:v>-19.75</x:v>
      </x:c>
      <x:c r="G31" s="46" t="n">
        <x:v>-90</x:v>
      </x:c>
      <x:c r="H31" s="44" t="str">
        <x:v>MODXO_ApexusNULL_Footprints:Observed_J_HDD</x:v>
      </x:c>
      <x:c r="I31" s="47" t="n">
        <x:v>1</x:v>
      </x:c>
    </x:row>
    <x:row r="32" ht="25" customHeight="1">
      <x:c r="A32" s="37" t="str">
        <x:v>J_LCD</x:v>
      </x:c>
      <x:c r="B32" s="37" t="str">
        <x:v>SM06B-SRSS-TB(LF)(SN)</x:v>
      </x:c>
      <x:c r="C32" s="37" t="str">
        <x:v>LCD</x:v>
      </x:c>
      <x:c r="D32" s="37" t="str">
        <x:v>Top</x:v>
      </x:c>
      <x:c r="E32" s="41" t="n">
        <x:v>12.05</x:v>
      </x:c>
      <x:c r="F32" s="41" t="n">
        <x:v>-33.35</x:v>
      </x:c>
      <x:c r="G32" s="42" t="n">
        <x:v>0</x:v>
      </x:c>
      <x:c r="H32" s="37" t="str">
        <x:v>MODXO_ApexusNULL_Footprints:Observed_J_LCD</x:v>
      </x:c>
      <x:c r="I32" s="43" t="n">
        <x:v>1</x:v>
      </x:c>
    </x:row>
    <x:row r="33" ht="25" customHeight="1">
      <x:c r="A33" s="44" t="str">
        <x:v>J_LPC</x:v>
      </x:c>
      <x:c r="B33" s="44" t="str">
        <x:v>M20-7830842</x:v>
      </x:c>
      <x:c r="C33" s="44" t="str">
        <x:v>LPC 2x8 underside</x:v>
      </x:c>
      <x:c r="D33" s="44" t="str">
        <x:v>Bottom</x:v>
      </x:c>
      <x:c r="E33" s="45" t="n">
        <x:v>30.7</x:v>
      </x:c>
      <x:c r="F33" s="45" t="n">
        <x:v>-3.1</x:v>
      </x:c>
      <x:c r="G33" s="46" t="n">
        <x:v>180</x:v>
      </x:c>
      <x:c r="H33" s="44" t="str">
        <x:v>MODXO_ApexusNULL_Footprints:Observed_J_LPC</x:v>
      </x:c>
      <x:c r="I33" s="47" t="n">
        <x:v>1</x:v>
      </x:c>
    </x:row>
    <x:row r="34" ht="25" customHeight="1">
      <x:c r="A34" s="37" t="str">
        <x:v>J_RGB</x:v>
      </x:c>
      <x:c r="B34" s="37" t="str">
        <x:v>SM04B-SRSS-TB(LF)(SN)</x:v>
      </x:c>
      <x:c r="C34" s="37" t="str">
        <x:v>RGB</x:v>
      </x:c>
      <x:c r="D34" s="37" t="str">
        <x:v>Top</x:v>
      </x:c>
      <x:c r="E34" s="41" t="n">
        <x:v>3.2</x:v>
      </x:c>
      <x:c r="F34" s="41" t="n">
        <x:v>-5.85</x:v>
      </x:c>
      <x:c r="G34" s="42" t="n">
        <x:v>-90</x:v>
      </x:c>
      <x:c r="H34" s="37" t="str">
        <x:v>MODXO_ApexusNULL_Footprints:Observed_J_RGB</x:v>
      </x:c>
      <x:c r="I34" s="43" t="n">
        <x:v>1</x:v>
      </x:c>
    </x:row>
    <x:row r="35" ht="25" customHeight="1">
      <x:c r="A35" s="44" t="str">
        <x:v>J_UART</x:v>
      </x:c>
      <x:c r="B35" s="44" t="str">
        <x:v>SM04B-SRSS-TB(LF)(SN)</x:v>
      </x:c>
      <x:c r="C35" s="44" t="str">
        <x:v>UART</x:v>
      </x:c>
      <x:c r="D35" s="44" t="str">
        <x:v>Top</x:v>
      </x:c>
      <x:c r="E35" s="45" t="n">
        <x:v>3.05</x:v>
      </x:c>
      <x:c r="F35" s="45" t="n">
        <x:v>-32.6</x:v>
      </x:c>
      <x:c r="G35" s="46" t="n">
        <x:v>-90</x:v>
      </x:c>
      <x:c r="H35" s="44" t="str">
        <x:v>MODXO_ApexusNULL_Footprints:Observed_J_UART</x:v>
      </x:c>
      <x:c r="I35" s="47" t="n">
        <x:v>1</x:v>
      </x:c>
    </x:row>
    <x:row r="36" ht="25" customHeight="1">
      <x:c r="A36" s="37" t="str">
        <x:v>J_USB</x:v>
      </x:c>
      <x:c r="B36" s="37" t="str">
        <x:v>TYPEC-304-BCP16</x:v>
      </x:c>
      <x:c r="C36" s="37" t="str">
        <x:v>USB-C</x:v>
      </x:c>
      <x:c r="D36" s="37" t="str">
        <x:v>Top</x:v>
      </x:c>
      <x:c r="E36" s="41" t="n">
        <x:v>14.2</x:v>
      </x:c>
      <x:c r="F36" s="41" t="n">
        <x:v>-2.75</x:v>
      </x:c>
      <x:c r="G36" s="42" t="n">
        <x:v>180</x:v>
      </x:c>
      <x:c r="H36" s="37" t="str">
        <x:v>MODXO_ApexusNULL_Footprints:Observed_J_USB</x:v>
      </x:c>
      <x:c r="I36" s="43" t="n">
        <x:v>1</x:v>
      </x:c>
    </x:row>
    <x:row r="37" ht="25" customHeight="1">
      <x:c r="A37" s="44" t="str">
        <x:v>J_XB</x:v>
      </x:c>
      <x:c r="B37" s="44" t="str">
        <x:v>SM04B-SRSS-TB(LF)(SN)</x:v>
      </x:c>
      <x:c r="C37" s="44" t="str">
        <x:v>XB</x:v>
      </x:c>
      <x:c r="D37" s="44" t="str">
        <x:v>Top</x:v>
      </x:c>
      <x:c r="E37" s="45" t="n">
        <x:v>20.2</x:v>
      </x:c>
      <x:c r="F37" s="45" t="n">
        <x:v>-33.4</x:v>
      </x:c>
      <x:c r="G37" s="46" t="n">
        <x:v>0</x:v>
      </x:c>
      <x:c r="H37" s="44" t="str">
        <x:v>MODXO_ApexusNULL_Footprints:Observed_J_XB</x:v>
      </x:c>
      <x:c r="I37" s="47" t="n">
        <x:v>1</x:v>
      </x:c>
    </x:row>
    <x:row r="38" ht="25" customHeight="1">
      <x:c r="A38" s="37" t="str">
        <x:v>LED1</x:v>
      </x:c>
      <x:c r="B38" s="37" t="str">
        <x:v>WS2812B-MINI-V6</x:v>
      </x:c>
      <x:c r="C38" s="37" t="str">
        <x:v>3535 addressable RGB, 12 mA/color</x:v>
      </x:c>
      <x:c r="D38" s="37" t="str">
        <x:v>Top</x:v>
      </x:c>
      <x:c r="E38" s="41" t="n">
        <x:v>28.05</x:v>
      </x:c>
      <x:c r="F38" s="41" t="n">
        <x:v>-33</x:v>
      </x:c>
      <x:c r="G38" s="42" t="n">
        <x:v>0</x:v>
      </x:c>
      <x:c r="H38" s="37" t="str">
        <x:v>MODXO_ApexusNULL_Footprints:Observed_LED1</x:v>
      </x:c>
      <x:c r="I38" s="43" t="n">
        <x:v>1</x:v>
      </x:c>
    </x:row>
    <x:row r="39" ht="25" customHeight="1">
      <x:c r="A39" s="44" t="str">
        <x:v>LED2</x:v>
      </x:c>
      <x:c r="B39" s="44" t="str">
        <x:v>LTST-C190TBKT</x:v>
      </x:c>
      <x:c r="C39" s="44" t="str">
        <x:v>Blue indicator LED 0603</x:v>
      </x:c>
      <x:c r="D39" s="44" t="str">
        <x:v>Top</x:v>
      </x:c>
      <x:c r="E39" s="45" t="n">
        <x:v>10.85</x:v>
      </x:c>
      <x:c r="F39" s="45" t="n">
        <x:v>-20.1</x:v>
      </x:c>
      <x:c r="G39" s="46" t="n">
        <x:v>45</x:v>
      </x:c>
      <x:c r="H39" s="44" t="str">
        <x:v>MODXO_ApexusNULL_Footprints:Observed_LED2</x:v>
      </x:c>
      <x:c r="I39" s="47" t="n">
        <x:v>1</x:v>
      </x:c>
    </x:row>
    <x:row r="40" ht="25" customHeight="1">
      <x:c r="A40" s="37" t="str">
        <x:v>P_N1</x:v>
      </x:c>
      <x:c r="B40" s="37" t="str">
        <x:v>CL10B105KA8NNNC</x:v>
      </x:c>
      <x:c r="C40" s="37" t="str">
        <x:v>1uF 25V X7R 10%</x:v>
      </x:c>
      <x:c r="D40" s="37" t="str">
        <x:v>Top</x:v>
      </x:c>
      <x:c r="E40" s="41" t="n">
        <x:v>16.85</x:v>
      </x:c>
      <x:c r="F40" s="41" t="n">
        <x:v>-8.8</x:v>
      </x:c>
      <x:c r="G40" s="42" t="n">
        <x:v>90</x:v>
      </x:c>
      <x:c r="H40" s="37" t="str">
        <x:v>MODXO_ApexusNULL_Footprints:Observed_P_N1</x:v>
      </x:c>
      <x:c r="I40" s="43" t="n">
        <x:v>1</x:v>
      </x:c>
    </x:row>
    <x:row r="41" ht="25" customHeight="1">
      <x:c r="A41" s="44" t="str">
        <x:v>P_N2</x:v>
      </x:c>
      <x:c r="B41" s="44" t="str">
        <x:v>CL10B104KB8NNNC</x:v>
      </x:c>
      <x:c r="C41" s="44" t="str">
        <x:v>100nF 50V X7R 10%</x:v>
      </x:c>
      <x:c r="D41" s="44" t="str">
        <x:v>Top</x:v>
      </x:c>
      <x:c r="E41" s="45" t="n">
        <x:v>18.05</x:v>
      </x:c>
      <x:c r="F41" s="45" t="n">
        <x:v>-8.8</x:v>
      </x:c>
      <x:c r="G41" s="46" t="n">
        <x:v>90</x:v>
      </x:c>
      <x:c r="H41" s="44" t="str">
        <x:v>MODXO_ApexusNULL_Footprints:Observed_P_N2</x:v>
      </x:c>
      <x:c r="I41" s="47" t="n">
        <x:v>1</x:v>
      </x:c>
    </x:row>
    <x:row r="42" ht="25" customHeight="1">
      <x:c r="A42" s="37" t="str">
        <x:v>R1</x:v>
      </x:c>
      <x:c r="B42" s="37" t="str">
        <x:v>RC0603FR-071KL</x:v>
      </x:c>
      <x:c r="C42" s="37" t="str">
        <x:v>1k 1% 0.1W</x:v>
      </x:c>
      <x:c r="D42" s="37" t="str">
        <x:v>Top</x:v>
      </x:c>
      <x:c r="E42" s="41" t="n">
        <x:v>9.7</x:v>
      </x:c>
      <x:c r="F42" s="41" t="n">
        <x:v>-18.95</x:v>
      </x:c>
      <x:c r="G42" s="42" t="n">
        <x:v>45</x:v>
      </x:c>
      <x:c r="H42" s="37" t="str">
        <x:v>MODXO_ApexusNULL_Footprints:Observed_R1</x:v>
      </x:c>
      <x:c r="I42" s="43" t="n">
        <x:v>1</x:v>
      </x:c>
    </x:row>
    <x:row r="43" ht="25" customHeight="1">
      <x:c r="A43" s="44" t="str">
        <x:v>R2</x:v>
      </x:c>
      <x:c r="B43" s="44" t="str">
        <x:v>RC0603FR-07470RL</x:v>
      </x:c>
      <x:c r="C43" s="44" t="str">
        <x:v>470 1% 0.1W</x:v>
      </x:c>
      <x:c r="D43" s="44" t="str">
        <x:v>Top</x:v>
      </x:c>
      <x:c r="E43" s="45" t="n">
        <x:v>13.55</x:v>
      </x:c>
      <x:c r="F43" s="45" t="n">
        <x:v>-22.95</x:v>
      </x:c>
      <x:c r="G43" s="46" t="n">
        <x:v>0</x:v>
      </x:c>
      <x:c r="H43" s="44" t="str">
        <x:v>MODXO_ApexusNULL_Footprints:Observed_R2</x:v>
      </x:c>
      <x:c r="I43" s="47" t="n">
        <x:v>1</x:v>
      </x:c>
    </x:row>
    <x:row r="44" ht="25" customHeight="1">
      <x:c r="A44" s="37" t="str">
        <x:v>R3</x:v>
      </x:c>
      <x:c r="B44" s="37" t="str">
        <x:v>RC0603FR-07470RL</x:v>
      </x:c>
      <x:c r="C44" s="37" t="str">
        <x:v>470 1% 0.1W</x:v>
      </x:c>
      <x:c r="D44" s="37" t="str">
        <x:v>Top</x:v>
      </x:c>
      <x:c r="E44" s="41" t="n">
        <x:v>7.7</x:v>
      </x:c>
      <x:c r="F44" s="41" t="n">
        <x:v>-24.1</x:v>
      </x:c>
      <x:c r="G44" s="42" t="n">
        <x:v>0</x:v>
      </x:c>
      <x:c r="H44" s="37" t="str">
        <x:v>MODXO_ApexusNULL_Footprints:Observed_R3</x:v>
      </x:c>
      <x:c r="I44" s="43" t="n">
        <x:v>1</x:v>
      </x:c>
    </x:row>
    <x:row r="45" ht="25" customHeight="1">
      <x:c r="A45" s="44" t="str">
        <x:v>R4</x:v>
      </x:c>
      <x:c r="B45" s="44" t="str">
        <x:v>RC0603FR-075K1L</x:v>
      </x:c>
      <x:c r="C45" s="44" t="str">
        <x:v>5.1k 1% 0.1W</x:v>
      </x:c>
      <x:c r="D45" s="44" t="str">
        <x:v>Top</x:v>
      </x:c>
      <x:c r="E45" s="45" t="n">
        <x:v>15.65</x:v>
      </x:c>
      <x:c r="F45" s="45" t="n">
        <x:v>-8.5</x:v>
      </x:c>
      <x:c r="G45" s="46" t="n">
        <x:v>90</x:v>
      </x:c>
      <x:c r="H45" s="44" t="str">
        <x:v>MODXO_ApexusNULL_Footprints:Observed_R4</x:v>
      </x:c>
      <x:c r="I45" s="47" t="n">
        <x:v>1</x:v>
      </x:c>
    </x:row>
    <x:row r="46" ht="25" customHeight="1">
      <x:c r="A46" s="37" t="str">
        <x:v>R5</x:v>
      </x:c>
      <x:c r="B46" s="37" t="str">
        <x:v>RC0603FR-071KL</x:v>
      </x:c>
      <x:c r="C46" s="37" t="str">
        <x:v>1k 1% 0.1W</x:v>
      </x:c>
      <x:c r="D46" s="37" t="str">
        <x:v>Top</x:v>
      </x:c>
      <x:c r="E46" s="41" t="n">
        <x:v>21.5</x:v>
      </x:c>
      <x:c r="F46" s="41" t="n">
        <x:v>-9.75</x:v>
      </x:c>
      <x:c r="G46" s="42" t="n">
        <x:v>0</x:v>
      </x:c>
      <x:c r="H46" s="37" t="str">
        <x:v>MODXO_ApexusNULL_Footprints:Observed_R5</x:v>
      </x:c>
      <x:c r="I46" s="43" t="n">
        <x:v>1</x:v>
      </x:c>
    </x:row>
    <x:row r="47" ht="25" customHeight="1">
      <x:c r="A47" s="44" t="str">
        <x:v>R6</x:v>
      </x:c>
      <x:c r="B47" s="44" t="str">
        <x:v>RC0603FR-07330RL</x:v>
      </x:c>
      <x:c r="C47" s="44" t="str">
        <x:v>330 1% 0.1W</x:v>
      </x:c>
      <x:c r="D47" s="44" t="str">
        <x:v>Top</x:v>
      </x:c>
      <x:c r="E47" s="45" t="n">
        <x:v>29</x:v>
      </x:c>
      <x:c r="F47" s="45" t="n">
        <x:v>-29.8</x:v>
      </x:c>
      <x:c r="G47" s="46" t="n">
        <x:v>0</x:v>
      </x:c>
      <x:c r="H47" s="44" t="str">
        <x:v>MODXO_ApexusNULL_Footprints:Observed_R6</x:v>
      </x:c>
      <x:c r="I47" s="47" t="n">
        <x:v>1</x:v>
      </x:c>
    </x:row>
    <x:row r="48" ht="25" customHeight="1">
      <x:c r="A48" s="37" t="str">
        <x:v>R7</x:v>
      </x:c>
      <x:c r="B48" s="37" t="str">
        <x:v>RC0603FR-0727RL</x:v>
      </x:c>
      <x:c r="C48" s="37" t="str">
        <x:v>27R 1% 0.1W</x:v>
      </x:c>
      <x:c r="D48" s="37" t="str">
        <x:v>Top</x:v>
      </x:c>
      <x:c r="E48" s="41" t="n">
        <x:v>14.5</x:v>
      </x:c>
      <x:c r="F48" s="41" t="n">
        <x:v>-8.5</x:v>
      </x:c>
      <x:c r="G48" s="42" t="n">
        <x:v>90</x:v>
      </x:c>
      <x:c r="H48" s="37" t="str">
        <x:v>MODXO_ApexusNULL_Footprints:Observed_R7</x:v>
      </x:c>
      <x:c r="I48" s="43" t="n">
        <x:v>1</x:v>
      </x:c>
    </x:row>
    <x:row r="49" ht="25" customHeight="1">
      <x:c r="A49" s="44" t="str">
        <x:v>R8</x:v>
      </x:c>
      <x:c r="B49" s="44" t="str">
        <x:v>RC0603FR-0727RL</x:v>
      </x:c>
      <x:c r="C49" s="44" t="str">
        <x:v>27R 1% 0.1W</x:v>
      </x:c>
      <x:c r="D49" s="44" t="str">
        <x:v>Top</x:v>
      </x:c>
      <x:c r="E49" s="45" t="n">
        <x:v>13.4</x:v>
      </x:c>
      <x:c r="F49" s="45" t="n">
        <x:v>-8.55</x:v>
      </x:c>
      <x:c r="G49" s="46" t="n">
        <x:v>90</x:v>
      </x:c>
      <x:c r="H49" s="44" t="str">
        <x:v>MODXO_ApexusNULL_Footprints:Observed_R8</x:v>
      </x:c>
      <x:c r="I49" s="47" t="n">
        <x:v>1</x:v>
      </x:c>
    </x:row>
    <x:row r="50" ht="25" customHeight="1">
      <x:c r="A50" s="37" t="str">
        <x:v>R9</x:v>
      </x:c>
      <x:c r="B50" s="37" t="str">
        <x:v>RC0603FR-074K7L</x:v>
      </x:c>
      <x:c r="C50" s="37" t="str">
        <x:v>4.7k 1% 0.1W</x:v>
      </x:c>
      <x:c r="D50" s="37" t="str">
        <x:v>Top</x:v>
      </x:c>
      <x:c r="E50" s="41" t="n">
        <x:v>7.7</x:v>
      </x:c>
      <x:c r="F50" s="41" t="n">
        <x:v>-22.85</x:v>
      </x:c>
      <x:c r="G50" s="42" t="n">
        <x:v>0</x:v>
      </x:c>
      <x:c r="H50" s="37" t="str">
        <x:v>MODXO_ApexusNULL_Footprints:Observed_R9</x:v>
      </x:c>
      <x:c r="I50" s="43" t="n">
        <x:v>1</x:v>
      </x:c>
    </x:row>
    <x:row r="51" ht="25" customHeight="1">
      <x:c r="A51" s="44" t="str">
        <x:v>R10</x:v>
      </x:c>
      <x:c r="B51" s="44" t="str">
        <x:v>RC0603FR-075K1L</x:v>
      </x:c>
      <x:c r="C51" s="44" t="str">
        <x:v>5.1k 1% 0.1W</x:v>
      </x:c>
      <x:c r="D51" s="44" t="str">
        <x:v>Top</x:v>
      </x:c>
      <x:c r="E51" s="45" t="n">
        <x:v>12.2</x:v>
      </x:c>
      <x:c r="F51" s="45" t="n">
        <x:v>-8.55</x:v>
      </x:c>
      <x:c r="G51" s="46" t="n">
        <x:v>90</x:v>
      </x:c>
      <x:c r="H51" s="44" t="str">
        <x:v>MODXO_ApexusNULL_Footprints:Observed_R10</x:v>
      </x:c>
      <x:c r="I51" s="47" t="n">
        <x:v>1</x:v>
      </x:c>
    </x:row>
    <x:row r="52" ht="25" customHeight="1">
      <x:c r="A52" s="37" t="str">
        <x:v>R11</x:v>
      </x:c>
      <x:c r="B52" s="37" t="str">
        <x:v>RC0603FR-074K7L</x:v>
      </x:c>
      <x:c r="C52" s="37" t="str">
        <x:v>4.7k 1% 0.1W</x:v>
      </x:c>
      <x:c r="D52" s="37" t="str">
        <x:v>Top</x:v>
      </x:c>
      <x:c r="E52" s="41" t="n">
        <x:v>13.55</x:v>
      </x:c>
      <x:c r="F52" s="41" t="n">
        <x:v>-24.15</x:v>
      </x:c>
      <x:c r="G52" s="42" t="n">
        <x:v>0</x:v>
      </x:c>
      <x:c r="H52" s="37" t="str">
        <x:v>MODXO_ApexusNULL_Footprints:Observed_R11</x:v>
      </x:c>
      <x:c r="I52" s="43" t="n">
        <x:v>1</x:v>
      </x:c>
    </x:row>
    <x:row r="53" ht="25" customHeight="1">
      <x:c r="A53" s="44" t="str">
        <x:v>RN</x:v>
      </x:c>
      <x:c r="B53" s="44" t="str">
        <x:v>MNR04M0APJ101</x:v>
      </x:c>
      <x:c r="C53" s="44" t="str">
        <x:v>4x100R</x:v>
      </x:c>
      <x:c r="D53" s="44" t="str">
        <x:v>Top</x:v>
      </x:c>
      <x:c r="E53" s="45" t="n">
        <x:v>25.2</x:v>
      </x:c>
      <x:c r="F53" s="45" t="n">
        <x:v>-15.95</x:v>
      </x:c>
      <x:c r="G53" s="46" t="n">
        <x:v>0</x:v>
      </x:c>
      <x:c r="H53" s="44" t="str">
        <x:v>MODXO_ApexusNULL_Footprints:Observed_RN</x:v>
      </x:c>
      <x:c r="I53" s="47" t="n">
        <x:v>1</x:v>
      </x:c>
    </x:row>
    <x:row r="54" ht="25" customHeight="1">
      <x:c r="A54" s="37" t="str">
        <x:v>SW_BOOT</x:v>
      </x:c>
      <x:c r="B54" s="37" t="str">
        <x:v>ST-1185S</x:v>
      </x:c>
      <x:c r="C54" s="37" t="str">
        <x:v>BOOT / ST-1185S</x:v>
      </x:c>
      <x:c r="D54" s="37" t="str">
        <x:v>Top</x:v>
      </x:c>
      <x:c r="E54" s="41" t="n">
        <x:v>10.15</x:v>
      </x:c>
      <x:c r="F54" s="41" t="n">
        <x:v>-14.05</x:v>
      </x:c>
      <x:c r="G54" s="42" t="n">
        <x:v>-90</x:v>
      </x:c>
      <x:c r="H54" s="37" t="str">
        <x:v>MODXO_ApexusNULL_Footprints:Observed_SW_BOOT</x:v>
      </x:c>
      <x:c r="I54" s="43" t="n">
        <x:v>1</x:v>
      </x:c>
    </x:row>
    <x:row r="55" ht="25" customHeight="1">
      <x:c r="A55" s="44" t="str">
        <x:v>U_ACT</x:v>
      </x:c>
      <x:c r="B55" s="44" t="str">
        <x:v>BC857BS,115</x:v>
      </x:c>
      <x:c r="C55" s="44" t="str">
        <x:v>Dual PNP activity driver</x:v>
      </x:c>
      <x:c r="D55" s="44" t="str">
        <x:v>Top</x:v>
      </x:c>
      <x:c r="E55" s="45" t="n">
        <x:v>10.75</x:v>
      </x:c>
      <x:c r="F55" s="45" t="n">
        <x:v>-23.55</x:v>
      </x:c>
      <x:c r="G55" s="46" t="n">
        <x:v>0</x:v>
      </x:c>
      <x:c r="H55" s="44" t="str">
        <x:v>MODXO_ApexusNULL_Footprints:Observed_U_ACT</x:v>
      </x:c>
      <x:c r="I55" s="47" t="n">
        <x:v>1</x:v>
      </x:c>
    </x:row>
    <x:row r="56" ht="25" customHeight="1">
      <x:c r="A56" s="37" t="str">
        <x:v>U1</x:v>
      </x:c>
      <x:c r="B56" s="37" t="str">
        <x:v>RP2040</x:v>
      </x:c>
      <x:c r="C56" s="37" t="str">
        <x:v>RP2040</x:v>
      </x:c>
      <x:c r="D56" s="37" t="str">
        <x:v>Top</x:v>
      </x:c>
      <x:c r="E56" s="41" t="n">
        <x:v>19</x:v>
      </x:c>
      <x:c r="F56" s="41" t="n">
        <x:v>-14.2</x:v>
      </x:c>
      <x:c r="G56" s="42" t="n">
        <x:v>180</x:v>
      </x:c>
      <x:c r="H56" s="37" t="str">
        <x:v>MODXO_ApexusNULL_Footprints:Observed_U1</x:v>
      </x:c>
      <x:c r="I56" s="43" t="n">
        <x:v>1</x:v>
      </x:c>
    </x:row>
    <x:row r="57" ht="25" customHeight="1">
      <x:c r="A57" s="44" t="str">
        <x:v>U2</x:v>
      </x:c>
      <x:c r="B57" s="44" t="str">
        <x:v>W25Q128JVSIQ</x:v>
      </x:c>
      <x:c r="C57" s="44" t="str">
        <x:v>W25Q128JVSIQ</x:v>
      </x:c>
      <x:c r="D57" s="44" t="str">
        <x:v>Top</x:v>
      </x:c>
      <x:c r="E57" s="45" t="n">
        <x:v>22.5</x:v>
      </x:c>
      <x:c r="F57" s="45" t="n">
        <x:v>-24.8</x:v>
      </x:c>
      <x:c r="G57" s="46" t="n">
        <x:v>180</x:v>
      </x:c>
      <x:c r="H57" s="44" t="str">
        <x:v>MODXO_ApexusNULL_Footprints:Observed_U2</x:v>
      </x:c>
      <x:c r="I57" s="47" t="n">
        <x:v>1</x:v>
      </x:c>
    </x:row>
    <x:row r="58" ht="25" customHeight="1">
      <x:c r="A58" s="37" t="str">
        <x:v>VREG</x:v>
      </x:c>
      <x:c r="B58" s="37" t="str">
        <x:v>ME6215C33M5G</x:v>
      </x:c>
      <x:c r="C58" s="37" t="str">
        <x:v>3.3 V enabled LDO</x:v>
      </x:c>
      <x:c r="D58" s="37" t="str">
        <x:v>Top</x:v>
      </x:c>
      <x:c r="E58" s="41" t="n">
        <x:v>33.7</x:v>
      </x:c>
      <x:c r="F58" s="41" t="n">
        <x:v>-30.95</x:v>
      </x:c>
      <x:c r="G58" s="42" t="n">
        <x:v>180</x:v>
      </x:c>
      <x:c r="H58" s="37" t="str">
        <x:v>MODXO_ApexusNULL_Footprints:Observed_VREG</x:v>
      </x:c>
      <x:c r="I58" s="43" t="n">
        <x:v>1</x:v>
      </x:c>
    </x:row>
    <x:row r="59" ht="25" customHeight="1">
      <x:c r="A59" s="44" t="str">
        <x:v>Y1</x:v>
      </x:c>
      <x:c r="B59" s="44" t="str">
        <x:v>ABM8-272-T3</x:v>
      </x:c>
      <x:c r="C59" s="44" t="str">
        <x:v>12MHz</x:v>
      </x:c>
      <x:c r="D59" s="44" t="str">
        <x:v>Top</x:v>
      </x:c>
      <x:c r="E59" s="45" t="n">
        <x:v>25.5</x:v>
      </x:c>
      <x:c r="F59" s="45" t="n">
        <x:v>-9.5</x:v>
      </x:c>
      <x:c r="G59" s="46" t="n">
        <x:v>90</x:v>
      </x:c>
      <x:c r="H59" s="44" t="str">
        <x:v>MODXO_ApexusNULL_Footprints:Observed_Y1</x:v>
      </x:c>
      <x:c r="I59" s="4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804bf5300e44035"/>
  </x:tableParts>
</x:worksheet>
</file>